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730" windowHeight="7965"/>
  </bookViews>
  <sheets>
    <sheet name="DASHBOARD" sheetId="1" r:id="rId1"/>
    <sheet name="TESTOutput" sheetId="2" state="hidden" r:id="rId2"/>
    <sheet name="OSAlgorithm" sheetId="3" state="hidden" r:id="rId3"/>
  </sheets>
  <functionGroups builtInGroupCount="17"/>
  <definedNames>
    <definedName name="OpenSolver_ChosenSolver" localSheetId="0" hidden="1">CBC</definedName>
    <definedName name="OpenSolver_ChosenSolver" localSheetId="2" hidden="1">CBC</definedName>
    <definedName name="OpenSolver_ChosenSolver" localSheetId="1" hidden="1">CBC</definedName>
    <definedName name="OpenSolver_DualsNewSheet" localSheetId="0" hidden="1">0</definedName>
    <definedName name="OpenSolver_DualsNewSheet" localSheetId="2" hidden="1">0</definedName>
    <definedName name="OpenSolver_DualsNewSheet" localSheetId="1" hidden="1">0</definedName>
    <definedName name="OpenSolver_LinearityCheck" localSheetId="2" hidden="1">1</definedName>
    <definedName name="OpenSolver_LinearityCheck" localSheetId="1" hidden="1">1</definedName>
    <definedName name="OpenSolver_UpdateSensitivity" localSheetId="0" hidden="1">1</definedName>
    <definedName name="OpenSolver_UpdateSensitivity" localSheetId="2" hidden="1">1</definedName>
    <definedName name="OpenSolver_UpdateSensitivity" localSheetId="1" hidden="1">1</definedName>
    <definedName name="solver_adj" localSheetId="2" hidden="1">OSAlgorithm!$S$5:$EE$5,OSAlgorithm!$H$19:$AE$317</definedName>
    <definedName name="solver_cvg" localSheetId="0" hidden="1">0.0001</definedName>
    <definedName name="solver_cvg" localSheetId="2" hidden="1">0.0001</definedName>
    <definedName name="solver_cvg" localSheetId="1" hidden="1">0.0001</definedName>
    <definedName name="solver_drv" localSheetId="0" hidden="1">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est" localSheetId="0" hidden="1">1</definedName>
    <definedName name="solver_est" localSheetId="2" hidden="1">1</definedName>
    <definedName name="solver_est" localSheetId="1" hidden="1">1</definedName>
    <definedName name="solver_itr" localSheetId="2" hidden="1">2147483647</definedName>
    <definedName name="solver_itr" localSheetId="1" hidden="1">2147483647</definedName>
    <definedName name="solver_lhs1" localSheetId="2" hidden="1">OSAlgorithm!$BP$19:$BP$317</definedName>
    <definedName name="solver_lhs10" localSheetId="2" hidden="1">OSAlgorithm!$I$305:$I$313</definedName>
    <definedName name="solver_lhs100" localSheetId="2" hidden="1">OSAlgorithm!$Y$305:$Y$313</definedName>
    <definedName name="solver_lhs101" localSheetId="2" hidden="1">OSAlgorithm!$Y$314:$Y$315</definedName>
    <definedName name="solver_lhs102" localSheetId="2" hidden="1">OSAlgorithm!$Y$316:$Y$317</definedName>
    <definedName name="solver_lhs103" localSheetId="2" hidden="1">OSAlgorithm!$AA$19:$AA$102</definedName>
    <definedName name="solver_lhs104" localSheetId="2" hidden="1">OSAlgorithm!$AA$103:$AA$127</definedName>
    <definedName name="solver_lhs105" localSheetId="2" hidden="1">OSAlgorithm!$AA$128:$AA$135</definedName>
    <definedName name="solver_lhs106" localSheetId="2" hidden="1">OSAlgorithm!$AA$136:$AA$142</definedName>
    <definedName name="solver_lhs107" localSheetId="2" hidden="1">OSAlgorithm!$AA$143:$AA$277</definedName>
    <definedName name="solver_lhs108" localSheetId="2" hidden="1">OSAlgorithm!$AA$278:$AA$304</definedName>
    <definedName name="solver_lhs109" localSheetId="2" hidden="1">OSAlgorithm!$AA$305:$AA$313</definedName>
    <definedName name="solver_lhs11" localSheetId="2" hidden="1">OSAlgorithm!$I$314:$I$315</definedName>
    <definedName name="solver_lhs110" localSheetId="2" hidden="1">OSAlgorithm!$AA$314:$AA$315</definedName>
    <definedName name="solver_lhs111" localSheetId="2" hidden="1">OSAlgorithm!$AA$316:$AA$317</definedName>
    <definedName name="solver_lhs112" localSheetId="2" hidden="1">OSAlgorithm!$AC$19:$AC$102</definedName>
    <definedName name="solver_lhs113" localSheetId="2" hidden="1">OSAlgorithm!$AC$103:$AC$127</definedName>
    <definedName name="solver_lhs114" localSheetId="2" hidden="1">OSAlgorithm!$AC$128:$AC$135</definedName>
    <definedName name="solver_lhs115" localSheetId="2" hidden="1">OSAlgorithm!$AC$136:$AC$142</definedName>
    <definedName name="solver_lhs116" localSheetId="2" hidden="1">OSAlgorithm!$AC$143:$AC$277</definedName>
    <definedName name="solver_lhs117" localSheetId="2" hidden="1">OSAlgorithm!$AC$278:$AC$304</definedName>
    <definedName name="solver_lhs118" localSheetId="2" hidden="1">OSAlgorithm!$AC$305:$AC$313</definedName>
    <definedName name="solver_lhs119" localSheetId="2" hidden="1">OSAlgorithm!$AC$314:$AC$315</definedName>
    <definedName name="solver_lhs12" localSheetId="2" hidden="1">OSAlgorithm!$I$316:$I$317</definedName>
    <definedName name="solver_lhs120" localSheetId="2" hidden="1">OSAlgorithm!$AC$316:$AC$317</definedName>
    <definedName name="solver_lhs121" localSheetId="2" hidden="1">OSAlgorithm!$S$5:$EE$5</definedName>
    <definedName name="solver_lhs122" localSheetId="2" hidden="1">OSAlgorithm!$H$19:$AE$317</definedName>
    <definedName name="solver_lhs123" localSheetId="2" hidden="1">OSAlgorithm!$AF$128:$AF$135</definedName>
    <definedName name="solver_lhs124" localSheetId="2" hidden="1">OSAlgorithm!$AF$136:$AF$142</definedName>
    <definedName name="solver_lhs125" localSheetId="2" hidden="1">OSAlgorithm!$AF$143:$AF$277</definedName>
    <definedName name="solver_lhs126" localSheetId="2" hidden="1">OSAlgorithm!$AF$278:$AF$304</definedName>
    <definedName name="solver_lhs127" localSheetId="2" hidden="1">OSAlgorithm!$AF$305:$AF$313</definedName>
    <definedName name="solver_lhs128" localSheetId="2" hidden="1">OSAlgorithm!$AF$314:$AF$315</definedName>
    <definedName name="solver_lhs129" localSheetId="2" hidden="1">OSAlgorithm!$AF$316:$AF$317</definedName>
    <definedName name="solver_lhs13" localSheetId="2" hidden="1">OSAlgorithm!$J$19:$J$102</definedName>
    <definedName name="solver_lhs130" localSheetId="2" hidden="1">OSAlgorithm!$AG$19:$AG$102</definedName>
    <definedName name="solver_lhs131" localSheetId="2" hidden="1">OSAlgorithm!$AG$103:$AG$127</definedName>
    <definedName name="solver_lhs132" localSheetId="2" hidden="1">OSAlgorithm!$AG$128:$AG$135</definedName>
    <definedName name="solver_lhs133" localSheetId="2" hidden="1">OSAlgorithm!$AG$136:$AG$142</definedName>
    <definedName name="solver_lhs134" localSheetId="2" hidden="1">OSAlgorithm!$AG$143:$AG$277</definedName>
    <definedName name="solver_lhs135" localSheetId="2" hidden="1">OSAlgorithm!$AG$278:$AG$304</definedName>
    <definedName name="solver_lhs136" localSheetId="2" hidden="1">OSAlgorithm!$AG$305:$AG$313</definedName>
    <definedName name="solver_lhs137" localSheetId="2" hidden="1">OSAlgorithm!$AG$314:$AG$315</definedName>
    <definedName name="solver_lhs138" localSheetId="2" hidden="1">OSAlgorithm!$AG$316:$AG$317</definedName>
    <definedName name="solver_lhs139" localSheetId="2" hidden="1">OSAlgorithm!$S$5:$EW$5</definedName>
    <definedName name="solver_lhs14" localSheetId="2" hidden="1">OSAlgorithm!$J$103:$J$127</definedName>
    <definedName name="solver_lhs140" localSheetId="2" hidden="1">OSAlgorithm!$H$19:$AG$317</definedName>
    <definedName name="solver_lhs141" localSheetId="2" hidden="1">OSAlgorithm!$S$5:$EW$5</definedName>
    <definedName name="solver_lhs142" localSheetId="2" hidden="1">OSAlgorithm!$H$19:$AG$317</definedName>
    <definedName name="solver_lhs143" localSheetId="2" hidden="1">OSAlgorithm!$BG$5</definedName>
    <definedName name="solver_lhs15" localSheetId="2" hidden="1">OSAlgorithm!$J$128:$J$135</definedName>
    <definedName name="solver_lhs16" localSheetId="2" hidden="1">OSAlgorithm!$J$136:$J$142</definedName>
    <definedName name="solver_lhs17" localSheetId="2" hidden="1">OSAlgorithm!$J$143:$J$277</definedName>
    <definedName name="solver_lhs18" localSheetId="2" hidden="1">OSAlgorithm!$J$278:$J$304</definedName>
    <definedName name="solver_lhs19" localSheetId="2" hidden="1">OSAlgorithm!$J$305:$J$313</definedName>
    <definedName name="solver_lhs2" localSheetId="2" hidden="1">OSAlgorithm!$BE$19:$BE$31</definedName>
    <definedName name="solver_lhs20" localSheetId="2" hidden="1">OSAlgorithm!$J$314:$J$315</definedName>
    <definedName name="solver_lhs21" localSheetId="2" hidden="1">OSAlgorithm!$J$316:$J$317</definedName>
    <definedName name="solver_lhs22" localSheetId="2" hidden="1">OSAlgorithm!$L$19:$L$102</definedName>
    <definedName name="solver_lhs23" localSheetId="2" hidden="1">OSAlgorithm!$L$103:$L$127</definedName>
    <definedName name="solver_lhs24" localSheetId="2" hidden="1">OSAlgorithm!$L$128:$L$135</definedName>
    <definedName name="solver_lhs25" localSheetId="2" hidden="1">OSAlgorithm!$L$136:$L$142</definedName>
    <definedName name="solver_lhs26" localSheetId="2" hidden="1">OSAlgorithm!$L$143:$L$277</definedName>
    <definedName name="solver_lhs27" localSheetId="2" hidden="1">OSAlgorithm!$L$278:$L$304</definedName>
    <definedName name="solver_lhs28" localSheetId="2" hidden="1">OSAlgorithm!$L$305:$L$313</definedName>
    <definedName name="solver_lhs29" localSheetId="2" hidden="1">OSAlgorithm!$L$314:$L$315</definedName>
    <definedName name="solver_lhs3" localSheetId="2" hidden="1">OSAlgorithm!$BH$19:$BH$31</definedName>
    <definedName name="solver_lhs30" localSheetId="2" hidden="1">OSAlgorithm!$L$316:$L$317</definedName>
    <definedName name="solver_lhs31" localSheetId="2" hidden="1">OSAlgorithm!$M$19:$M$102</definedName>
    <definedName name="solver_lhs32" localSheetId="2" hidden="1">OSAlgorithm!$M$103:$M$127</definedName>
    <definedName name="solver_lhs33" localSheetId="2" hidden="1">OSAlgorithm!$M$128:$M$135</definedName>
    <definedName name="solver_lhs34" localSheetId="2" hidden="1">OSAlgorithm!$M$136:$M$142</definedName>
    <definedName name="solver_lhs35" localSheetId="2" hidden="1">OSAlgorithm!$M$143:$M$277</definedName>
    <definedName name="solver_lhs36" localSheetId="2" hidden="1">OSAlgorithm!$M$278:$M$304</definedName>
    <definedName name="solver_lhs37" localSheetId="2" hidden="1">OSAlgorithm!$M$305:$M$313</definedName>
    <definedName name="solver_lhs38" localSheetId="2" hidden="1">OSAlgorithm!$M$314:$M$315</definedName>
    <definedName name="solver_lhs39" localSheetId="2" hidden="1">OSAlgorithm!$M$316:$M$317</definedName>
    <definedName name="solver_lhs4" localSheetId="2" hidden="1">OSAlgorithm!$I$19:$I$102</definedName>
    <definedName name="solver_lhs40" localSheetId="2" hidden="1">OSAlgorithm!$P$19:$P$102</definedName>
    <definedName name="solver_lhs41" localSheetId="2" hidden="1">OSAlgorithm!$P$103:$P$127</definedName>
    <definedName name="solver_lhs42" localSheetId="2" hidden="1">OSAlgorithm!$P$128:$P$135</definedName>
    <definedName name="solver_lhs43" localSheetId="2" hidden="1">OSAlgorithm!$P$136:$P$142</definedName>
    <definedName name="solver_lhs44" localSheetId="2" hidden="1">OSAlgorithm!$P$143:$P$277</definedName>
    <definedName name="solver_lhs45" localSheetId="2" hidden="1">OSAlgorithm!$P$278:$P$304</definedName>
    <definedName name="solver_lhs46" localSheetId="2" hidden="1">OSAlgorithm!$P$305:$P$313</definedName>
    <definedName name="solver_lhs47" localSheetId="2" hidden="1">OSAlgorithm!$P$314:$P$315</definedName>
    <definedName name="solver_lhs48" localSheetId="2" hidden="1">OSAlgorithm!$P$316:$P$317</definedName>
    <definedName name="solver_lhs49" localSheetId="2" hidden="1">OSAlgorithm!$Q$19:$Q$102</definedName>
    <definedName name="solver_lhs5" localSheetId="2" hidden="1">OSAlgorithm!$I$103:$I$127</definedName>
    <definedName name="solver_lhs50" localSheetId="2" hidden="1">OSAlgorithm!$Q$103:$Q$127</definedName>
    <definedName name="solver_lhs51" localSheetId="2" hidden="1">OSAlgorithm!$Q$128:$Q$135</definedName>
    <definedName name="solver_lhs52" localSheetId="2" hidden="1">OSAlgorithm!$Q$136:$Q$142</definedName>
    <definedName name="solver_lhs53" localSheetId="2" hidden="1">OSAlgorithm!$Q$143:$Q$277</definedName>
    <definedName name="solver_lhs54" localSheetId="2" hidden="1">OSAlgorithm!$Q$278:$Q$304</definedName>
    <definedName name="solver_lhs55" localSheetId="2" hidden="1">OSAlgorithm!$Q$305:$Q$313</definedName>
    <definedName name="solver_lhs56" localSheetId="2" hidden="1">OSAlgorithm!$Q$314:$Q$315</definedName>
    <definedName name="solver_lhs57" localSheetId="2" hidden="1">OSAlgorithm!$Q$316:$Q$317</definedName>
    <definedName name="solver_lhs58" localSheetId="2" hidden="1">OSAlgorithm!$S$19:$S$102</definedName>
    <definedName name="solver_lhs59" localSheetId="2" hidden="1">OSAlgorithm!$S$103:$S$127</definedName>
    <definedName name="solver_lhs6" localSheetId="2" hidden="1">OSAlgorithm!$I$128:$I$135</definedName>
    <definedName name="solver_lhs60" localSheetId="2" hidden="1">OSAlgorithm!$S$128:$S$135</definedName>
    <definedName name="solver_lhs61" localSheetId="2" hidden="1">OSAlgorithm!$S$136:$S$142</definedName>
    <definedName name="solver_lhs62" localSheetId="2" hidden="1">OSAlgorithm!$S$143:$S$277</definedName>
    <definedName name="solver_lhs63" localSheetId="2" hidden="1">OSAlgorithm!$S$278:$S$304</definedName>
    <definedName name="solver_lhs64" localSheetId="2" hidden="1">OSAlgorithm!$S$305:$S$313</definedName>
    <definedName name="solver_lhs65" localSheetId="2" hidden="1">OSAlgorithm!$S$314:$S$315</definedName>
    <definedName name="solver_lhs66" localSheetId="2" hidden="1">OSAlgorithm!$S$316:$S$317</definedName>
    <definedName name="solver_lhs67" localSheetId="2" hidden="1">OSAlgorithm!$T$19:$T$102</definedName>
    <definedName name="solver_lhs68" localSheetId="2" hidden="1">OSAlgorithm!$T$103:$T$127</definedName>
    <definedName name="solver_lhs69" localSheetId="2" hidden="1">OSAlgorithm!$T$128:$T$135</definedName>
    <definedName name="solver_lhs7" localSheetId="2" hidden="1">OSAlgorithm!$I$136:$I$142</definedName>
    <definedName name="solver_lhs70" localSheetId="2" hidden="1">OSAlgorithm!$T$136:$T$142</definedName>
    <definedName name="solver_lhs71" localSheetId="2" hidden="1">OSAlgorithm!$T$143:$T$277</definedName>
    <definedName name="solver_lhs72" localSheetId="2" hidden="1">OSAlgorithm!$T$278:$T$304</definedName>
    <definedName name="solver_lhs73" localSheetId="2" hidden="1">OSAlgorithm!$T$305:$T$313</definedName>
    <definedName name="solver_lhs74" localSheetId="2" hidden="1">OSAlgorithm!$T$314:$T$315</definedName>
    <definedName name="solver_lhs75" localSheetId="2" hidden="1">OSAlgorithm!$T$316:$T$317</definedName>
    <definedName name="solver_lhs76" localSheetId="2" hidden="1">OSAlgorithm!$V$19:$V$102</definedName>
    <definedName name="solver_lhs77" localSheetId="2" hidden="1">OSAlgorithm!$V$103:$V$127</definedName>
    <definedName name="solver_lhs78" localSheetId="2" hidden="1">OSAlgorithm!$V$128:$V$135</definedName>
    <definedName name="solver_lhs79" localSheetId="2" hidden="1">OSAlgorithm!$V$136:$V$142</definedName>
    <definedName name="solver_lhs8" localSheetId="2" hidden="1">OSAlgorithm!$I$143:$I$277</definedName>
    <definedName name="solver_lhs80" localSheetId="2" hidden="1">OSAlgorithm!$V$143:$V$277</definedName>
    <definedName name="solver_lhs81" localSheetId="2" hidden="1">OSAlgorithm!$V$278:$V$304</definedName>
    <definedName name="solver_lhs82" localSheetId="2" hidden="1">OSAlgorithm!$V$305:$V$313</definedName>
    <definedName name="solver_lhs83" localSheetId="2" hidden="1">OSAlgorithm!$V$314:$V$315</definedName>
    <definedName name="solver_lhs84" localSheetId="2" hidden="1">OSAlgorithm!$V$316:$V$317</definedName>
    <definedName name="solver_lhs85" localSheetId="2" hidden="1">OSAlgorithm!$W$19:$W$102</definedName>
    <definedName name="solver_lhs86" localSheetId="2" hidden="1">OSAlgorithm!$W$103:$W$127</definedName>
    <definedName name="solver_lhs87" localSheetId="2" hidden="1">OSAlgorithm!$W$128:$W$135</definedName>
    <definedName name="solver_lhs88" localSheetId="2" hidden="1">OSAlgorithm!$W$136:$W$142</definedName>
    <definedName name="solver_lhs89" localSheetId="2" hidden="1">OSAlgorithm!$W$143:$W$277</definedName>
    <definedName name="solver_lhs9" localSheetId="2" hidden="1">OSAlgorithm!$I$278:$I$304</definedName>
    <definedName name="solver_lhs90" localSheetId="2" hidden="1">OSAlgorithm!$W$278:$W$304</definedName>
    <definedName name="solver_lhs91" localSheetId="2" hidden="1">OSAlgorithm!$W$305:$W$313</definedName>
    <definedName name="solver_lhs92" localSheetId="2" hidden="1">OSAlgorithm!$W$314:$W$315</definedName>
    <definedName name="solver_lhs93" localSheetId="2" hidden="1">OSAlgorithm!$W$316:$W$317</definedName>
    <definedName name="solver_lhs94" localSheetId="2" hidden="1">OSAlgorithm!$Y$19:$Y$102</definedName>
    <definedName name="solver_lhs95" localSheetId="2" hidden="1">OSAlgorithm!$Y$103:$Y$127</definedName>
    <definedName name="solver_lhs96" localSheetId="2" hidden="1">OSAlgorithm!$Y$128:$Y$135</definedName>
    <definedName name="solver_lhs97" localSheetId="2" hidden="1">OSAlgorithm!$Y$136:$Y$142</definedName>
    <definedName name="solver_lhs98" localSheetId="2" hidden="1">OSAlgorithm!$Y$143:$Y$277</definedName>
    <definedName name="solver_lhs99" localSheetId="2" hidden="1">OSAlgorithm!$Y$278:$Y$304</definedName>
    <definedName name="solver_neg" localSheetId="0" hidden="1">1</definedName>
    <definedName name="solver_neg" localSheetId="2" hidden="1">1</definedName>
    <definedName name="solver_neg" localSheetId="1" hidden="1">1</definedName>
    <definedName name="solver_num" localSheetId="0" hidden="1">0</definedName>
    <definedName name="solver_num" localSheetId="2" hidden="1">122</definedName>
    <definedName name="solver_num" localSheetId="1" hidden="1">0</definedName>
    <definedName name="solver_nwt" localSheetId="0" hidden="1">1</definedName>
    <definedName name="solver_nwt" localSheetId="2" hidden="1">1</definedName>
    <definedName name="solver_nwt" localSheetId="1" hidden="1">1</definedName>
    <definedName name="solver_opt" localSheetId="2" hidden="1">OSAlgorithm!$Q$1</definedName>
    <definedName name="solver_pre" localSheetId="1" hidden="1">0.000001</definedName>
    <definedName name="solver_rel1" localSheetId="2" hidden="1">2</definedName>
    <definedName name="solver_rel10" localSheetId="2" hidden="1">1</definedName>
    <definedName name="solver_rel100" localSheetId="2" hidden="1">1</definedName>
    <definedName name="solver_rel101" localSheetId="2" hidden="1">1</definedName>
    <definedName name="solver_rel102" localSheetId="2" hidden="1">1</definedName>
    <definedName name="solver_rel103" localSheetId="2" hidden="1">1</definedName>
    <definedName name="solver_rel104" localSheetId="2" hidden="1">1</definedName>
    <definedName name="solver_rel105" localSheetId="2" hidden="1">1</definedName>
    <definedName name="solver_rel106" localSheetId="2" hidden="1">1</definedName>
    <definedName name="solver_rel107" localSheetId="2" hidden="1">1</definedName>
    <definedName name="solver_rel108" localSheetId="2" hidden="1">1</definedName>
    <definedName name="solver_rel109" localSheetId="2" hidden="1">1</definedName>
    <definedName name="solver_rel11" localSheetId="2" hidden="1">1</definedName>
    <definedName name="solver_rel110" localSheetId="2" hidden="1">1</definedName>
    <definedName name="solver_rel111" localSheetId="2" hidden="1">1</definedName>
    <definedName name="solver_rel112" localSheetId="2" hidden="1">1</definedName>
    <definedName name="solver_rel113" localSheetId="2" hidden="1">1</definedName>
    <definedName name="solver_rel114" localSheetId="2" hidden="1">1</definedName>
    <definedName name="solver_rel115" localSheetId="2" hidden="1">1</definedName>
    <definedName name="solver_rel116" localSheetId="2" hidden="1">1</definedName>
    <definedName name="solver_rel117" localSheetId="2" hidden="1">1</definedName>
    <definedName name="solver_rel118" localSheetId="2" hidden="1">1</definedName>
    <definedName name="solver_rel119" localSheetId="2" hidden="1">1</definedName>
    <definedName name="solver_rel12" localSheetId="2" hidden="1">1</definedName>
    <definedName name="solver_rel120" localSheetId="2" hidden="1">1</definedName>
    <definedName name="solver_rel121" localSheetId="2" hidden="1">5</definedName>
    <definedName name="solver_rel122" localSheetId="2" hidden="1">5</definedName>
    <definedName name="solver_rel123" localSheetId="2" hidden="1">1</definedName>
    <definedName name="solver_rel124" localSheetId="2" hidden="1">1</definedName>
    <definedName name="solver_rel125" localSheetId="2" hidden="1">1</definedName>
    <definedName name="solver_rel126" localSheetId="2" hidden="1">1</definedName>
    <definedName name="solver_rel127" localSheetId="2" hidden="1">1</definedName>
    <definedName name="solver_rel128" localSheetId="2" hidden="1">1</definedName>
    <definedName name="solver_rel129" localSheetId="2" hidden="1">1</definedName>
    <definedName name="solver_rel13" localSheetId="2" hidden="1">1</definedName>
    <definedName name="solver_rel130" localSheetId="2" hidden="1">1</definedName>
    <definedName name="solver_rel131" localSheetId="2" hidden="1">1</definedName>
    <definedName name="solver_rel132" localSheetId="2" hidden="1">1</definedName>
    <definedName name="solver_rel133" localSheetId="2" hidden="1">1</definedName>
    <definedName name="solver_rel134" localSheetId="2" hidden="1">1</definedName>
    <definedName name="solver_rel135" localSheetId="2" hidden="1">1</definedName>
    <definedName name="solver_rel136" localSheetId="2" hidden="1">1</definedName>
    <definedName name="solver_rel137" localSheetId="2" hidden="1">1</definedName>
    <definedName name="solver_rel138" localSheetId="2" hidden="1">1</definedName>
    <definedName name="solver_rel139" localSheetId="2" hidden="1">5</definedName>
    <definedName name="solver_rel14" localSheetId="2" hidden="1">1</definedName>
    <definedName name="solver_rel140" localSheetId="2" hidden="1">5</definedName>
    <definedName name="solver_rel141" localSheetId="2" hidden="1">5</definedName>
    <definedName name="solver_rel142" localSheetId="2" hidden="1">5</definedName>
    <definedName name="solver_rel143" localSheetId="2" hidden="1">2</definedName>
    <definedName name="solver_rel15" localSheetId="2" hidden="1">1</definedName>
    <definedName name="solver_rel16" localSheetId="2" hidden="1">1</definedName>
    <definedName name="solver_rel17" localSheetId="2" hidden="1">1</definedName>
    <definedName name="solver_rel18" localSheetId="2" hidden="1">1</definedName>
    <definedName name="solver_rel19" localSheetId="2" hidden="1">1</definedName>
    <definedName name="solver_rel2" localSheetId="2" hidden="1">1</definedName>
    <definedName name="solver_rel20" localSheetId="2" hidden="1">1</definedName>
    <definedName name="solver_rel21" localSheetId="2" hidden="1">1</definedName>
    <definedName name="solver_rel22" localSheetId="2" hidden="1">1</definedName>
    <definedName name="solver_rel23" localSheetId="2" hidden="1">1</definedName>
    <definedName name="solver_rel24" localSheetId="2" hidden="1">1</definedName>
    <definedName name="solver_rel25" localSheetId="2" hidden="1">1</definedName>
    <definedName name="solver_rel26" localSheetId="2" hidden="1">1</definedName>
    <definedName name="solver_rel27" localSheetId="2" hidden="1">1</definedName>
    <definedName name="solver_rel28" localSheetId="2" hidden="1">1</definedName>
    <definedName name="solver_rel29" localSheetId="2" hidden="1">1</definedName>
    <definedName name="solver_rel3" localSheetId="2" hidden="1">1</definedName>
    <definedName name="solver_rel30" localSheetId="2" hidden="1">1</definedName>
    <definedName name="solver_rel31" localSheetId="2" hidden="1">1</definedName>
    <definedName name="solver_rel32" localSheetId="2" hidden="1">1</definedName>
    <definedName name="solver_rel33" localSheetId="2" hidden="1">1</definedName>
    <definedName name="solver_rel34" localSheetId="2" hidden="1">1</definedName>
    <definedName name="solver_rel35" localSheetId="2" hidden="1">1</definedName>
    <definedName name="solver_rel36" localSheetId="2" hidden="1">1</definedName>
    <definedName name="solver_rel37" localSheetId="2" hidden="1">1</definedName>
    <definedName name="solver_rel38" localSheetId="2" hidden="1">1</definedName>
    <definedName name="solver_rel39" localSheetId="2" hidden="1">1</definedName>
    <definedName name="solver_rel4" localSheetId="2" hidden="1">1</definedName>
    <definedName name="solver_rel40" localSheetId="2" hidden="1">1</definedName>
    <definedName name="solver_rel41" localSheetId="2" hidden="1">1</definedName>
    <definedName name="solver_rel42" localSheetId="2" hidden="1">1</definedName>
    <definedName name="solver_rel43" localSheetId="2" hidden="1">1</definedName>
    <definedName name="solver_rel44" localSheetId="2" hidden="1">1</definedName>
    <definedName name="solver_rel45" localSheetId="2" hidden="1">1</definedName>
    <definedName name="solver_rel46" localSheetId="2" hidden="1">1</definedName>
    <definedName name="solver_rel47" localSheetId="2" hidden="1">1</definedName>
    <definedName name="solver_rel48" localSheetId="2" hidden="1">1</definedName>
    <definedName name="solver_rel49" localSheetId="2" hidden="1">1</definedName>
    <definedName name="solver_rel5" localSheetId="2" hidden="1">1</definedName>
    <definedName name="solver_rel50" localSheetId="2" hidden="1">1</definedName>
    <definedName name="solver_rel51" localSheetId="2" hidden="1">1</definedName>
    <definedName name="solver_rel52" localSheetId="2" hidden="1">1</definedName>
    <definedName name="solver_rel53" localSheetId="2" hidden="1">1</definedName>
    <definedName name="solver_rel54" localSheetId="2" hidden="1">1</definedName>
    <definedName name="solver_rel55" localSheetId="2" hidden="1">1</definedName>
    <definedName name="solver_rel56" localSheetId="2" hidden="1">1</definedName>
    <definedName name="solver_rel57" localSheetId="2" hidden="1">1</definedName>
    <definedName name="solver_rel58" localSheetId="2" hidden="1">1</definedName>
    <definedName name="solver_rel59" localSheetId="2" hidden="1">1</definedName>
    <definedName name="solver_rel6" localSheetId="2" hidden="1">1</definedName>
    <definedName name="solver_rel60" localSheetId="2" hidden="1">1</definedName>
    <definedName name="solver_rel61" localSheetId="2" hidden="1">1</definedName>
    <definedName name="solver_rel62" localSheetId="2" hidden="1">1</definedName>
    <definedName name="solver_rel63" localSheetId="2" hidden="1">1</definedName>
    <definedName name="solver_rel64" localSheetId="2" hidden="1">1</definedName>
    <definedName name="solver_rel65" localSheetId="2" hidden="1">1</definedName>
    <definedName name="solver_rel66" localSheetId="2" hidden="1">1</definedName>
    <definedName name="solver_rel67" localSheetId="2" hidden="1">1</definedName>
    <definedName name="solver_rel68" localSheetId="2" hidden="1">1</definedName>
    <definedName name="solver_rel69" localSheetId="2" hidden="1">1</definedName>
    <definedName name="solver_rel7" localSheetId="2" hidden="1">1</definedName>
    <definedName name="solver_rel70" localSheetId="2" hidden="1">1</definedName>
    <definedName name="solver_rel71" localSheetId="2" hidden="1">1</definedName>
    <definedName name="solver_rel72" localSheetId="2" hidden="1">1</definedName>
    <definedName name="solver_rel73" localSheetId="2" hidden="1">1</definedName>
    <definedName name="solver_rel74" localSheetId="2" hidden="1">1</definedName>
    <definedName name="solver_rel75" localSheetId="2" hidden="1">1</definedName>
    <definedName name="solver_rel76" localSheetId="2" hidden="1">1</definedName>
    <definedName name="solver_rel77" localSheetId="2" hidden="1">1</definedName>
    <definedName name="solver_rel78" localSheetId="2" hidden="1">1</definedName>
    <definedName name="solver_rel79" localSheetId="2" hidden="1">1</definedName>
    <definedName name="solver_rel8" localSheetId="2" hidden="1">1</definedName>
    <definedName name="solver_rel80" localSheetId="2" hidden="1">1</definedName>
    <definedName name="solver_rel81" localSheetId="2" hidden="1">1</definedName>
    <definedName name="solver_rel82" localSheetId="2" hidden="1">1</definedName>
    <definedName name="solver_rel83" localSheetId="2" hidden="1">1</definedName>
    <definedName name="solver_rel84" localSheetId="2" hidden="1">1</definedName>
    <definedName name="solver_rel85" localSheetId="2" hidden="1">1</definedName>
    <definedName name="solver_rel86" localSheetId="2" hidden="1">1</definedName>
    <definedName name="solver_rel87" localSheetId="2" hidden="1">1</definedName>
    <definedName name="solver_rel88" localSheetId="2" hidden="1">1</definedName>
    <definedName name="solver_rel89" localSheetId="2" hidden="1">1</definedName>
    <definedName name="solver_rel9" localSheetId="2" hidden="1">1</definedName>
    <definedName name="solver_rel90" localSheetId="2" hidden="1">1</definedName>
    <definedName name="solver_rel91" localSheetId="2" hidden="1">1</definedName>
    <definedName name="solver_rel92" localSheetId="2" hidden="1">1</definedName>
    <definedName name="solver_rel93" localSheetId="2" hidden="1">1</definedName>
    <definedName name="solver_rel94" localSheetId="2" hidden="1">1</definedName>
    <definedName name="solver_rel95" localSheetId="2" hidden="1">1</definedName>
    <definedName name="solver_rel96" localSheetId="2" hidden="1">1</definedName>
    <definedName name="solver_rel97" localSheetId="2" hidden="1">1</definedName>
    <definedName name="solver_rel98" localSheetId="2" hidden="1">1</definedName>
    <definedName name="solver_rel99" localSheetId="2" hidden="1">1</definedName>
    <definedName name="solver_rhs1" localSheetId="2" hidden="1">OSAlgorithm!$BO$19:$BO$317</definedName>
    <definedName name="solver_rhs10" localSheetId="2" hidden="1">OSAlgorithm!$Y$5</definedName>
    <definedName name="solver_rhs100" localSheetId="2" hidden="1">OSAlgorithm!$DK$5</definedName>
    <definedName name="solver_rhs101" localSheetId="2" hidden="1">OSAlgorithm!$DL$5</definedName>
    <definedName name="solver_rhs102" localSheetId="2" hidden="1">OSAlgorithm!$DM$5</definedName>
    <definedName name="solver_rhs103" localSheetId="2" hidden="1">OSAlgorithm!$DN$5</definedName>
    <definedName name="solver_rhs104" localSheetId="2" hidden="1">OSAlgorithm!$DO$5</definedName>
    <definedName name="solver_rhs105" localSheetId="2" hidden="1">OSAlgorithm!$DP$5</definedName>
    <definedName name="solver_rhs106" localSheetId="2" hidden="1">OSAlgorithm!$DQ$5</definedName>
    <definedName name="solver_rhs107" localSheetId="2" hidden="1">OSAlgorithm!$DR$5</definedName>
    <definedName name="solver_rhs108" localSheetId="2" hidden="1">OSAlgorithm!$DS$5</definedName>
    <definedName name="solver_rhs109" localSheetId="2" hidden="1">OSAlgorithm!$DT$5</definedName>
    <definedName name="solver_rhs11" localSheetId="2" hidden="1">OSAlgorithm!$Z$5</definedName>
    <definedName name="solver_rhs110" localSheetId="2" hidden="1">OSAlgorithm!$DU$5</definedName>
    <definedName name="solver_rhs111" localSheetId="2" hidden="1">OSAlgorithm!$DV$5</definedName>
    <definedName name="solver_rhs112" localSheetId="2" hidden="1">OSAlgorithm!$DW$5</definedName>
    <definedName name="solver_rhs113" localSheetId="2" hidden="1">OSAlgorithm!$DX$5</definedName>
    <definedName name="solver_rhs114" localSheetId="2" hidden="1">OSAlgorithm!$DY$5</definedName>
    <definedName name="solver_rhs115" localSheetId="2" hidden="1">OSAlgorithm!$DZ$5</definedName>
    <definedName name="solver_rhs116" localSheetId="2" hidden="1">OSAlgorithm!$EA$5</definedName>
    <definedName name="solver_rhs117" localSheetId="2" hidden="1">OSAlgorithm!$EB$5</definedName>
    <definedName name="solver_rhs118" localSheetId="2" hidden="1">OSAlgorithm!$EC$5</definedName>
    <definedName name="solver_rhs119" localSheetId="2" hidden="1">OSAlgorithm!$ED$5</definedName>
    <definedName name="solver_rhs12" localSheetId="2" hidden="1">OSAlgorithm!$AA$5</definedName>
    <definedName name="solver_rhs120" localSheetId="2" hidden="1">OSAlgorithm!$EE$5</definedName>
    <definedName name="solver_rhs121" localSheetId="2" hidden="1">binary</definedName>
    <definedName name="solver_rhs122" localSheetId="2" hidden="1">binary</definedName>
    <definedName name="solver_rhs123" localSheetId="2" hidden="1">OSAlgorithm!$EH$5</definedName>
    <definedName name="solver_rhs124" localSheetId="2" hidden="1">OSAlgorithm!$EI$5</definedName>
    <definedName name="solver_rhs125" localSheetId="2" hidden="1">OSAlgorithm!$EJ$5</definedName>
    <definedName name="solver_rhs126" localSheetId="2" hidden="1">OSAlgorithm!$EK$5</definedName>
    <definedName name="solver_rhs127" localSheetId="2" hidden="1">OSAlgorithm!$EL$5</definedName>
    <definedName name="solver_rhs128" localSheetId="2" hidden="1">OSAlgorithm!$EM$5</definedName>
    <definedName name="solver_rhs129" localSheetId="2" hidden="1">OSAlgorithm!$EN$5</definedName>
    <definedName name="solver_rhs13" localSheetId="2" hidden="1">OSAlgorithm!$AB$5</definedName>
    <definedName name="solver_rhs130" localSheetId="2" hidden="1">OSAlgorithm!$EO$5</definedName>
    <definedName name="solver_rhs131" localSheetId="2" hidden="1">OSAlgorithm!$EP$5</definedName>
    <definedName name="solver_rhs132" localSheetId="2" hidden="1">OSAlgorithm!$EQ$5</definedName>
    <definedName name="solver_rhs133" localSheetId="2" hidden="1">OSAlgorithm!$ER$5</definedName>
    <definedName name="solver_rhs134" localSheetId="2" hidden="1">OSAlgorithm!$ES$5</definedName>
    <definedName name="solver_rhs135" localSheetId="2" hidden="1">OSAlgorithm!$ET$5</definedName>
    <definedName name="solver_rhs136" localSheetId="2" hidden="1">OSAlgorithm!$EU$5</definedName>
    <definedName name="solver_rhs137" localSheetId="2" hidden="1">OSAlgorithm!$EV$5</definedName>
    <definedName name="solver_rhs138" localSheetId="2" hidden="1">OSAlgorithm!$EW$5</definedName>
    <definedName name="solver_rhs139" localSheetId="2" hidden="1">binary</definedName>
    <definedName name="solver_rhs14" localSheetId="2" hidden="1">OSAlgorithm!$AC$5</definedName>
    <definedName name="solver_rhs140" localSheetId="2" hidden="1">binary</definedName>
    <definedName name="solver_rhs141" localSheetId="2" hidden="1">binary</definedName>
    <definedName name="solver_rhs142" localSheetId="2" hidden="1">binary</definedName>
    <definedName name="solver_rhs143" localSheetId="2" hidden="1">0</definedName>
    <definedName name="solver_rhs15" localSheetId="2" hidden="1">OSAlgorithm!$AD$5</definedName>
    <definedName name="solver_rhs16" localSheetId="2" hidden="1">OSAlgorithm!$AE$5</definedName>
    <definedName name="solver_rhs17" localSheetId="2" hidden="1">OSAlgorithm!$AF$5</definedName>
    <definedName name="solver_rhs18" localSheetId="2" hidden="1">OSAlgorithm!$AG$5</definedName>
    <definedName name="solver_rhs19" localSheetId="2" hidden="1">OSAlgorithm!$AH$5</definedName>
    <definedName name="solver_rhs2" localSheetId="2" hidden="1">OSAlgorithm!$BF$19:$BF$31</definedName>
    <definedName name="solver_rhs20" localSheetId="2" hidden="1">OSAlgorithm!$AI$5</definedName>
    <definedName name="solver_rhs21" localSheetId="2" hidden="1">OSAlgorithm!$AJ$5</definedName>
    <definedName name="solver_rhs22" localSheetId="2" hidden="1">OSAlgorithm!$AK$5</definedName>
    <definedName name="solver_rhs23" localSheetId="2" hidden="1">OSAlgorithm!$AL$5</definedName>
    <definedName name="solver_rhs24" localSheetId="2" hidden="1">OSAlgorithm!$AM$5</definedName>
    <definedName name="solver_rhs25" localSheetId="2" hidden="1">OSAlgorithm!$AN$5</definedName>
    <definedName name="solver_rhs26" localSheetId="2" hidden="1">OSAlgorithm!$AO$5</definedName>
    <definedName name="solver_rhs27" localSheetId="2" hidden="1">OSAlgorithm!$AP$5</definedName>
    <definedName name="solver_rhs28" localSheetId="2" hidden="1">OSAlgorithm!$AQ$5</definedName>
    <definedName name="solver_rhs29" localSheetId="2" hidden="1">OSAlgorithm!$AR$5</definedName>
    <definedName name="solver_rhs3" localSheetId="2" hidden="1">OSAlgorithm!$BI$19:$BI$31</definedName>
    <definedName name="solver_rhs30" localSheetId="2" hidden="1">OSAlgorithm!$AS$5</definedName>
    <definedName name="solver_rhs31" localSheetId="2" hidden="1">OSAlgorithm!$AT$5</definedName>
    <definedName name="solver_rhs32" localSheetId="2" hidden="1">OSAlgorithm!$AU$5</definedName>
    <definedName name="solver_rhs33" localSheetId="2" hidden="1">OSAlgorithm!$AV$5</definedName>
    <definedName name="solver_rhs34" localSheetId="2" hidden="1">OSAlgorithm!$AW$5</definedName>
    <definedName name="solver_rhs35" localSheetId="2" hidden="1">OSAlgorithm!$AX$5</definedName>
    <definedName name="solver_rhs36" localSheetId="2" hidden="1">OSAlgorithm!$AY$5</definedName>
    <definedName name="solver_rhs37" localSheetId="2" hidden="1">OSAlgorithm!$AZ$5</definedName>
    <definedName name="solver_rhs38" localSheetId="2" hidden="1">OSAlgorithm!$BA$5</definedName>
    <definedName name="solver_rhs39" localSheetId="2" hidden="1">OSAlgorithm!$BB$5</definedName>
    <definedName name="solver_rhs4" localSheetId="2" hidden="1">OSAlgorithm!$S$5</definedName>
    <definedName name="solver_rhs40" localSheetId="2" hidden="1">OSAlgorithm!$BC$5</definedName>
    <definedName name="solver_rhs41" localSheetId="2" hidden="1">OSAlgorithm!$BD$5</definedName>
    <definedName name="solver_rhs42" localSheetId="2" hidden="1">OSAlgorithm!$BE$5</definedName>
    <definedName name="solver_rhs43" localSheetId="2" hidden="1">OSAlgorithm!$BF$5</definedName>
    <definedName name="solver_rhs44" localSheetId="2" hidden="1">OSAlgorithm!$BG$5</definedName>
    <definedName name="solver_rhs45" localSheetId="2" hidden="1">OSAlgorithm!$BH$5</definedName>
    <definedName name="solver_rhs46" localSheetId="2" hidden="1">OSAlgorithm!$BI$5</definedName>
    <definedName name="solver_rhs47" localSheetId="2" hidden="1">OSAlgorithm!$BJ$5</definedName>
    <definedName name="solver_rhs48" localSheetId="2" hidden="1">OSAlgorithm!$BK$5</definedName>
    <definedName name="solver_rhs49" localSheetId="2" hidden="1">OSAlgorithm!$BL$5</definedName>
    <definedName name="solver_rhs5" localSheetId="2" hidden="1">OSAlgorithm!$T$5</definedName>
    <definedName name="solver_rhs50" localSheetId="2" hidden="1">OSAlgorithm!$BM$5</definedName>
    <definedName name="solver_rhs51" localSheetId="2" hidden="1">OSAlgorithm!$BN$5</definedName>
    <definedName name="solver_rhs52" localSheetId="2" hidden="1">OSAlgorithm!$BO$5</definedName>
    <definedName name="solver_rhs53" localSheetId="2" hidden="1">OSAlgorithm!$BP$5</definedName>
    <definedName name="solver_rhs54" localSheetId="2" hidden="1">OSAlgorithm!$BQ$5</definedName>
    <definedName name="solver_rhs55" localSheetId="2" hidden="1">OSAlgorithm!$BR$5</definedName>
    <definedName name="solver_rhs56" localSheetId="2" hidden="1">OSAlgorithm!$BS$5</definedName>
    <definedName name="solver_rhs57" localSheetId="2" hidden="1">OSAlgorithm!$BT$5</definedName>
    <definedName name="solver_rhs58" localSheetId="2" hidden="1">OSAlgorithm!$BU$5</definedName>
    <definedName name="solver_rhs59" localSheetId="2" hidden="1">OSAlgorithm!$BV$5</definedName>
    <definedName name="solver_rhs6" localSheetId="2" hidden="1">OSAlgorithm!$U$5</definedName>
    <definedName name="solver_rhs60" localSheetId="2" hidden="1">OSAlgorithm!$BW$5</definedName>
    <definedName name="solver_rhs61" localSheetId="2" hidden="1">OSAlgorithm!$BX$5</definedName>
    <definedName name="solver_rhs62" localSheetId="2" hidden="1">OSAlgorithm!$BY$5</definedName>
    <definedName name="solver_rhs63" localSheetId="2" hidden="1">OSAlgorithm!$BZ$5</definedName>
    <definedName name="solver_rhs64" localSheetId="2" hidden="1">OSAlgorithm!$CA$5</definedName>
    <definedName name="solver_rhs65" localSheetId="2" hidden="1">OSAlgorithm!$CB$5</definedName>
    <definedName name="solver_rhs66" localSheetId="2" hidden="1">OSAlgorithm!$CC$5</definedName>
    <definedName name="solver_rhs67" localSheetId="2" hidden="1">OSAlgorithm!$CD$5</definedName>
    <definedName name="solver_rhs68" localSheetId="2" hidden="1">OSAlgorithm!$CE$5</definedName>
    <definedName name="solver_rhs69" localSheetId="2" hidden="1">OSAlgorithm!$CF$5</definedName>
    <definedName name="solver_rhs7" localSheetId="2" hidden="1">OSAlgorithm!$V$5</definedName>
    <definedName name="solver_rhs70" localSheetId="2" hidden="1">OSAlgorithm!$CG$5</definedName>
    <definedName name="solver_rhs71" localSheetId="2" hidden="1">OSAlgorithm!$CH$5</definedName>
    <definedName name="solver_rhs72" localSheetId="2" hidden="1">OSAlgorithm!$CI$5</definedName>
    <definedName name="solver_rhs73" localSheetId="2" hidden="1">OSAlgorithm!$CJ$5</definedName>
    <definedName name="solver_rhs74" localSheetId="2" hidden="1">OSAlgorithm!$CK$5</definedName>
    <definedName name="solver_rhs75" localSheetId="2" hidden="1">OSAlgorithm!$CL$5</definedName>
    <definedName name="solver_rhs76" localSheetId="2" hidden="1">OSAlgorithm!$CM$5</definedName>
    <definedName name="solver_rhs77" localSheetId="2" hidden="1">OSAlgorithm!$CN$5</definedName>
    <definedName name="solver_rhs78" localSheetId="2" hidden="1">OSAlgorithm!$CO$5</definedName>
    <definedName name="solver_rhs79" localSheetId="2" hidden="1">OSAlgorithm!$CP$5</definedName>
    <definedName name="solver_rhs8" localSheetId="2" hidden="1">OSAlgorithm!$W$5</definedName>
    <definedName name="solver_rhs80" localSheetId="2" hidden="1">OSAlgorithm!$CQ$5</definedName>
    <definedName name="solver_rhs81" localSheetId="2" hidden="1">OSAlgorithm!$CR$5</definedName>
    <definedName name="solver_rhs82" localSheetId="2" hidden="1">OSAlgorithm!$CS$5</definedName>
    <definedName name="solver_rhs83" localSheetId="2" hidden="1">OSAlgorithm!$CT$5</definedName>
    <definedName name="solver_rhs84" localSheetId="2" hidden="1">OSAlgorithm!$CU$5</definedName>
    <definedName name="solver_rhs85" localSheetId="2" hidden="1">OSAlgorithm!$CV$5</definedName>
    <definedName name="solver_rhs86" localSheetId="2" hidden="1">OSAlgorithm!$CW$5</definedName>
    <definedName name="solver_rhs87" localSheetId="2" hidden="1">OSAlgorithm!$CX$5</definedName>
    <definedName name="solver_rhs88" localSheetId="2" hidden="1">OSAlgorithm!$CY$5</definedName>
    <definedName name="solver_rhs89" localSheetId="2" hidden="1">OSAlgorithm!$CZ$5</definedName>
    <definedName name="solver_rhs9" localSheetId="2" hidden="1">OSAlgorithm!$X$5</definedName>
    <definedName name="solver_rhs90" localSheetId="2" hidden="1">OSAlgorithm!$DA$5</definedName>
    <definedName name="solver_rhs91" localSheetId="2" hidden="1">OSAlgorithm!$DB$5</definedName>
    <definedName name="solver_rhs92" localSheetId="2" hidden="1">OSAlgorithm!$DC$5</definedName>
    <definedName name="solver_rhs93" localSheetId="2" hidden="1">OSAlgorithm!$DD$5</definedName>
    <definedName name="solver_rhs94" localSheetId="2" hidden="1">OSAlgorithm!$DE$5</definedName>
    <definedName name="solver_rhs95" localSheetId="2" hidden="1">OSAlgorithm!$DF$5</definedName>
    <definedName name="solver_rhs96" localSheetId="2" hidden="1">OSAlgorithm!$DG$5</definedName>
    <definedName name="solver_rhs97" localSheetId="2" hidden="1">OSAlgorithm!$DH$5</definedName>
    <definedName name="solver_rhs98" localSheetId="2" hidden="1">OSAlgorithm!$DI$5</definedName>
    <definedName name="solver_rhs99" localSheetId="2" hidden="1">OSAlgorithm!$DJ$5</definedName>
    <definedName name="solver_rlx" localSheetId="0" hidden="1">2</definedName>
    <definedName name="solver_rlx" localSheetId="2" hidden="1">0</definedName>
    <definedName name="solver_rlx" localSheetId="1" hidden="1">2</definedName>
    <definedName name="solver_scl" localSheetId="0" hidden="1">2</definedName>
    <definedName name="solver_scl" localSheetId="2" hidden="1">2</definedName>
    <definedName name="solver_scl" localSheetId="1" hidden="1">2</definedName>
    <definedName name="solver_sho" localSheetId="2" hidden="1">0</definedName>
    <definedName name="solver_sho" localSheetId="1" hidden="1">0</definedName>
    <definedName name="solver_tim" localSheetId="2" hidden="1">2147483647</definedName>
    <definedName name="solver_tim" localSheetId="1" hidden="1">2147483647</definedName>
    <definedName name="solver_tol" localSheetId="2" hidden="1">0.05</definedName>
    <definedName name="solver_tol" localSheetId="1" hidden="1">0.05</definedName>
    <definedName name="solver_typ" localSheetId="0" hidden="1">2</definedName>
    <definedName name="solver_typ" localSheetId="2" hidden="1">2</definedName>
    <definedName name="solver_typ" localSheetId="1" hidden="1">2</definedName>
    <definedName name="solver_val" localSheetId="0" hidden="1">0</definedName>
    <definedName name="solver_val" localSheetId="2" hidden="1">0</definedName>
    <definedName name="solver_val" localSheetId="1" hidden="1">0</definedName>
    <definedName name="solver_ver" localSheetId="2" hidden="1">3</definedName>
    <definedName name="solver_ver" localSheetId="1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E8" i="3" l="1"/>
  <c r="EE7" i="3"/>
  <c r="EE6" i="3"/>
  <c r="ED8" i="3"/>
  <c r="ED7" i="3"/>
  <c r="ED6" i="3"/>
  <c r="EC8" i="3"/>
  <c r="EC7" i="3"/>
  <c r="EC6" i="3"/>
  <c r="EB8" i="3"/>
  <c r="EB7" i="3"/>
  <c r="EB6" i="3"/>
  <c r="EA8" i="3"/>
  <c r="EA7" i="3"/>
  <c r="EA6" i="3"/>
  <c r="DZ8" i="3"/>
  <c r="DZ7" i="3"/>
  <c r="DZ6" i="3"/>
  <c r="DY8" i="3"/>
  <c r="DY7" i="3"/>
  <c r="DY6" i="3"/>
  <c r="DX8" i="3"/>
  <c r="DX7" i="3"/>
  <c r="DX6" i="3"/>
  <c r="DW8" i="3"/>
  <c r="DW7" i="3"/>
  <c r="DW6" i="3"/>
  <c r="DV8" i="3"/>
  <c r="DV7" i="3"/>
  <c r="DV6" i="3"/>
  <c r="DU8" i="3"/>
  <c r="DU7" i="3"/>
  <c r="DU6" i="3"/>
  <c r="DT8" i="3"/>
  <c r="DT7" i="3"/>
  <c r="DT6" i="3"/>
  <c r="DS8" i="3"/>
  <c r="DS7" i="3"/>
  <c r="DS6" i="3"/>
  <c r="DR8" i="3"/>
  <c r="DR7" i="3"/>
  <c r="DR6" i="3"/>
  <c r="DQ8" i="3"/>
  <c r="DQ7" i="3"/>
  <c r="DQ6" i="3"/>
  <c r="DP8" i="3"/>
  <c r="DP7" i="3"/>
  <c r="DP6" i="3"/>
  <c r="DO8" i="3"/>
  <c r="DO7" i="3"/>
  <c r="DO6" i="3"/>
  <c r="DN8" i="3"/>
  <c r="DN7" i="3"/>
  <c r="DN6" i="3"/>
  <c r="DM8" i="3"/>
  <c r="DM7" i="3"/>
  <c r="DM6" i="3"/>
  <c r="DL8" i="3"/>
  <c r="DL7" i="3"/>
  <c r="DL6" i="3"/>
  <c r="DK8" i="3"/>
  <c r="DK7" i="3"/>
  <c r="DK6" i="3"/>
  <c r="DJ8" i="3"/>
  <c r="DJ7" i="3"/>
  <c r="DJ6" i="3"/>
  <c r="DI8" i="3"/>
  <c r="DI7" i="3"/>
  <c r="DI6" i="3"/>
  <c r="DH8" i="3"/>
  <c r="DH7" i="3"/>
  <c r="DH6" i="3"/>
  <c r="DG8" i="3"/>
  <c r="DG7" i="3"/>
  <c r="DG6" i="3"/>
  <c r="DF8" i="3"/>
  <c r="DF7" i="3"/>
  <c r="DF6" i="3"/>
  <c r="DE8" i="3"/>
  <c r="DE7" i="3"/>
  <c r="DE6" i="3"/>
  <c r="DD8" i="3"/>
  <c r="DD7" i="3"/>
  <c r="DD6" i="3"/>
  <c r="DC8" i="3"/>
  <c r="DC7" i="3"/>
  <c r="DC6" i="3"/>
  <c r="DB8" i="3"/>
  <c r="DB7" i="3"/>
  <c r="DB6" i="3"/>
  <c r="DA8" i="3"/>
  <c r="DA7" i="3"/>
  <c r="DA6" i="3"/>
  <c r="CZ8" i="3"/>
  <c r="CZ7" i="3"/>
  <c r="CZ6" i="3"/>
  <c r="CY8" i="3"/>
  <c r="CY7" i="3"/>
  <c r="CY6" i="3"/>
  <c r="CX8" i="3"/>
  <c r="CX7" i="3"/>
  <c r="CX6" i="3"/>
  <c r="CW8" i="3"/>
  <c r="CW7" i="3"/>
  <c r="CW6" i="3"/>
  <c r="CV8" i="3"/>
  <c r="CV7" i="3"/>
  <c r="CV6" i="3"/>
  <c r="CU8" i="3"/>
  <c r="CU7" i="3"/>
  <c r="CU6" i="3"/>
  <c r="CT8" i="3"/>
  <c r="CT7" i="3"/>
  <c r="CT6" i="3"/>
  <c r="CS8" i="3"/>
  <c r="CS7" i="3"/>
  <c r="CS6" i="3"/>
  <c r="CR8" i="3"/>
  <c r="CR7" i="3"/>
  <c r="CR6" i="3"/>
  <c r="CQ8" i="3"/>
  <c r="CQ7" i="3"/>
  <c r="CQ6" i="3"/>
  <c r="CP8" i="3"/>
  <c r="CP7" i="3"/>
  <c r="CP6" i="3"/>
  <c r="CO8" i="3"/>
  <c r="CO7" i="3"/>
  <c r="CO6" i="3"/>
  <c r="CN8" i="3"/>
  <c r="CN7" i="3"/>
  <c r="CN6" i="3"/>
  <c r="CM8" i="3"/>
  <c r="CM7" i="3"/>
  <c r="CM6" i="3"/>
  <c r="CL8" i="3"/>
  <c r="CL7" i="3"/>
  <c r="CL6" i="3"/>
  <c r="CK8" i="3"/>
  <c r="CK7" i="3"/>
  <c r="CK6" i="3"/>
  <c r="CJ8" i="3"/>
  <c r="CJ7" i="3"/>
  <c r="CJ6" i="3"/>
  <c r="CI8" i="3"/>
  <c r="CI7" i="3"/>
  <c r="CI6" i="3"/>
  <c r="CH8" i="3"/>
  <c r="CH7" i="3"/>
  <c r="CH6" i="3"/>
  <c r="CG8" i="3"/>
  <c r="CG7" i="3"/>
  <c r="CG6" i="3"/>
  <c r="CF8" i="3"/>
  <c r="CF7" i="3"/>
  <c r="CF6" i="3"/>
  <c r="CE8" i="3"/>
  <c r="CE7" i="3"/>
  <c r="CE6" i="3"/>
  <c r="CD8" i="3"/>
  <c r="CD7" i="3"/>
  <c r="CD6" i="3"/>
  <c r="CC8" i="3"/>
  <c r="CC7" i="3"/>
  <c r="CC6" i="3"/>
  <c r="CB8" i="3"/>
  <c r="CB7" i="3"/>
  <c r="CB6" i="3"/>
  <c r="CA8" i="3"/>
  <c r="CA7" i="3"/>
  <c r="CA6" i="3"/>
  <c r="BZ8" i="3"/>
  <c r="BZ7" i="3"/>
  <c r="BZ6" i="3"/>
  <c r="BY8" i="3"/>
  <c r="BY7" i="3"/>
  <c r="BY6" i="3"/>
  <c r="BX8" i="3"/>
  <c r="BX7" i="3"/>
  <c r="BX6" i="3"/>
  <c r="BW8" i="3"/>
  <c r="BW7" i="3"/>
  <c r="BW6" i="3"/>
  <c r="BV8" i="3"/>
  <c r="BV7" i="3"/>
  <c r="BV6" i="3"/>
  <c r="BU8" i="3"/>
  <c r="BU7" i="3"/>
  <c r="BU6" i="3"/>
  <c r="BT8" i="3"/>
  <c r="BT7" i="3"/>
  <c r="BT6" i="3"/>
  <c r="BS8" i="3"/>
  <c r="BS7" i="3"/>
  <c r="BS6" i="3"/>
  <c r="BR8" i="3"/>
  <c r="BR7" i="3"/>
  <c r="BR6" i="3"/>
  <c r="BQ8" i="3"/>
  <c r="BQ7" i="3"/>
  <c r="BQ6" i="3"/>
  <c r="BP8" i="3"/>
  <c r="BP7" i="3"/>
  <c r="BP6" i="3"/>
  <c r="BO8" i="3"/>
  <c r="BO7" i="3"/>
  <c r="BO6" i="3"/>
  <c r="BN8" i="3"/>
  <c r="BN7" i="3"/>
  <c r="BN6" i="3"/>
  <c r="BM8" i="3"/>
  <c r="BM7" i="3"/>
  <c r="BM6" i="3"/>
  <c r="BL8" i="3"/>
  <c r="BL7" i="3"/>
  <c r="BL6" i="3"/>
  <c r="BK8" i="3"/>
  <c r="BK7" i="3"/>
  <c r="BK6" i="3"/>
  <c r="BJ8" i="3"/>
  <c r="BJ7" i="3"/>
  <c r="BJ6" i="3"/>
  <c r="BI8" i="3"/>
  <c r="BI7" i="3"/>
  <c r="BI6" i="3"/>
  <c r="BH8" i="3"/>
  <c r="BH7" i="3"/>
  <c r="BH6" i="3"/>
  <c r="BG8" i="3"/>
  <c r="BG7" i="3"/>
  <c r="BG6" i="3"/>
  <c r="BF8" i="3"/>
  <c r="BF7" i="3"/>
  <c r="BF6" i="3"/>
  <c r="BE8" i="3"/>
  <c r="BE7" i="3"/>
  <c r="BE6" i="3"/>
  <c r="BD8" i="3"/>
  <c r="BD7" i="3"/>
  <c r="BD6" i="3"/>
  <c r="BC8" i="3"/>
  <c r="BC7" i="3"/>
  <c r="BC6" i="3"/>
  <c r="BB8" i="3"/>
  <c r="BB7" i="3"/>
  <c r="BB6" i="3"/>
  <c r="BA8" i="3"/>
  <c r="BA7" i="3"/>
  <c r="BA6" i="3"/>
  <c r="AZ8" i="3"/>
  <c r="AZ7" i="3"/>
  <c r="AZ6" i="3"/>
  <c r="AY8" i="3"/>
  <c r="AY7" i="3"/>
  <c r="AY6" i="3"/>
  <c r="AX8" i="3"/>
  <c r="AX7" i="3"/>
  <c r="AX6" i="3"/>
  <c r="AW8" i="3"/>
  <c r="AW7" i="3"/>
  <c r="AW6" i="3"/>
  <c r="AV8" i="3"/>
  <c r="AV7" i="3"/>
  <c r="AV6" i="3"/>
  <c r="AU8" i="3"/>
  <c r="AU7" i="3"/>
  <c r="AU6" i="3"/>
  <c r="AT8" i="3"/>
  <c r="AT7" i="3"/>
  <c r="AT6" i="3"/>
  <c r="AS8" i="3"/>
  <c r="AS7" i="3"/>
  <c r="AS6" i="3"/>
  <c r="AR8" i="3"/>
  <c r="AR7" i="3"/>
  <c r="AR6" i="3"/>
  <c r="AQ8" i="3"/>
  <c r="AQ7" i="3"/>
  <c r="AQ6" i="3"/>
  <c r="AP8" i="3"/>
  <c r="AP7" i="3"/>
  <c r="AP6" i="3"/>
  <c r="AO8" i="3"/>
  <c r="AO7" i="3"/>
  <c r="AO6" i="3"/>
  <c r="AN8" i="3"/>
  <c r="AN7" i="3"/>
  <c r="AN6" i="3"/>
  <c r="AM8" i="3"/>
  <c r="AM7" i="3"/>
  <c r="AM6" i="3"/>
  <c r="AL8" i="3"/>
  <c r="AL7" i="3"/>
  <c r="AL6" i="3"/>
  <c r="AK8" i="3"/>
  <c r="AK7" i="3"/>
  <c r="AK6" i="3"/>
  <c r="AJ8" i="3"/>
  <c r="AJ7" i="3"/>
  <c r="AJ6" i="3"/>
  <c r="AI8" i="3"/>
  <c r="AI7" i="3"/>
  <c r="AI6" i="3"/>
  <c r="AH8" i="3"/>
  <c r="AH7" i="3"/>
  <c r="AH6" i="3"/>
  <c r="AG8" i="3"/>
  <c r="AG7" i="3"/>
  <c r="AG6" i="3"/>
  <c r="AF8" i="3"/>
  <c r="AF7" i="3"/>
  <c r="AF6" i="3"/>
  <c r="AE8" i="3"/>
  <c r="AE7" i="3"/>
  <c r="AE6" i="3"/>
  <c r="AD8" i="3"/>
  <c r="AD7" i="3"/>
  <c r="AD6" i="3"/>
  <c r="AC8" i="3"/>
  <c r="AC7" i="3"/>
  <c r="AC6" i="3"/>
  <c r="AB8" i="3"/>
  <c r="AB7" i="3"/>
  <c r="AB6" i="3"/>
  <c r="AA8" i="3"/>
  <c r="AA7" i="3"/>
  <c r="AA6" i="3"/>
  <c r="Z8" i="3"/>
  <c r="Z7" i="3"/>
  <c r="Z6" i="3"/>
  <c r="Y8" i="3"/>
  <c r="Y7" i="3"/>
  <c r="Y6" i="3"/>
  <c r="X8" i="3"/>
  <c r="X7" i="3"/>
  <c r="X6" i="3"/>
  <c r="W8" i="3"/>
  <c r="W7" i="3"/>
  <c r="W6" i="3"/>
  <c r="V8" i="3"/>
  <c r="V7" i="3"/>
  <c r="V6" i="3"/>
  <c r="U8" i="3"/>
  <c r="U7" i="3"/>
  <c r="U6" i="3"/>
  <c r="T8" i="3"/>
  <c r="T7" i="3"/>
  <c r="T6" i="3"/>
  <c r="S8" i="3"/>
  <c r="S7" i="3"/>
  <c r="S6" i="3"/>
  <c r="BP317" i="3"/>
  <c r="BP316" i="3"/>
  <c r="BP315" i="3"/>
  <c r="BP314" i="3"/>
  <c r="BP313" i="3"/>
  <c r="BP312" i="3"/>
  <c r="BP311" i="3"/>
  <c r="BP310" i="3"/>
  <c r="BP309" i="3"/>
  <c r="BP308" i="3"/>
  <c r="BP307" i="3"/>
  <c r="BP306" i="3"/>
  <c r="BP305" i="3"/>
  <c r="BP304" i="3"/>
  <c r="BP303" i="3"/>
  <c r="BP302" i="3"/>
  <c r="BP301" i="3"/>
  <c r="BP300" i="3"/>
  <c r="BP299" i="3"/>
  <c r="BP298" i="3"/>
  <c r="BP297" i="3"/>
  <c r="BP296" i="3"/>
  <c r="BP295" i="3"/>
  <c r="BP294" i="3"/>
  <c r="BP293" i="3"/>
  <c r="BP292" i="3"/>
  <c r="BP291" i="3"/>
  <c r="BP290" i="3"/>
  <c r="BP289" i="3"/>
  <c r="BP288" i="3"/>
  <c r="BP287" i="3"/>
  <c r="BP286" i="3"/>
  <c r="BP285" i="3"/>
  <c r="BP284" i="3"/>
  <c r="BP283" i="3"/>
  <c r="BP282" i="3"/>
  <c r="BP281" i="3"/>
  <c r="BP280" i="3"/>
  <c r="BP279" i="3"/>
  <c r="BP278" i="3"/>
  <c r="BP277" i="3"/>
  <c r="BP276" i="3"/>
  <c r="BP275" i="3"/>
  <c r="BP274" i="3"/>
  <c r="BP273" i="3"/>
  <c r="BP272" i="3"/>
  <c r="BP271" i="3"/>
  <c r="BP270" i="3"/>
  <c r="BP269" i="3"/>
  <c r="BP268" i="3"/>
  <c r="BP267" i="3"/>
  <c r="BP266" i="3"/>
  <c r="BP265" i="3"/>
  <c r="BP264" i="3"/>
  <c r="BP263" i="3"/>
  <c r="BP262" i="3"/>
  <c r="BP261" i="3"/>
  <c r="BP260" i="3"/>
  <c r="BP259" i="3"/>
  <c r="BP258" i="3"/>
  <c r="BP257" i="3"/>
  <c r="BP256" i="3"/>
  <c r="BP255" i="3"/>
  <c r="BP254" i="3"/>
  <c r="BP253" i="3"/>
  <c r="BP252" i="3"/>
  <c r="BP251" i="3"/>
  <c r="BP250" i="3"/>
  <c r="BP249" i="3"/>
  <c r="BP248" i="3"/>
  <c r="BP247" i="3"/>
  <c r="BP246" i="3"/>
  <c r="BP245" i="3"/>
  <c r="BP244" i="3"/>
  <c r="BP243" i="3"/>
  <c r="BP242" i="3"/>
  <c r="BP241" i="3"/>
  <c r="BP240" i="3"/>
  <c r="BP239" i="3"/>
  <c r="BP238" i="3"/>
  <c r="BP237" i="3"/>
  <c r="BP236" i="3"/>
  <c r="BP235" i="3"/>
  <c r="BP234" i="3"/>
  <c r="BP233" i="3"/>
  <c r="BP232" i="3"/>
  <c r="BP231" i="3"/>
  <c r="BP230" i="3"/>
  <c r="BP229" i="3"/>
  <c r="BP228" i="3"/>
  <c r="BP227" i="3"/>
  <c r="BP226" i="3"/>
  <c r="BP225" i="3"/>
  <c r="BP224" i="3"/>
  <c r="BP223" i="3"/>
  <c r="BP222" i="3"/>
  <c r="BP221" i="3"/>
  <c r="BP220" i="3"/>
  <c r="BP219" i="3"/>
  <c r="BP218" i="3"/>
  <c r="BP217" i="3"/>
  <c r="BP216" i="3"/>
  <c r="BP215" i="3"/>
  <c r="BP214" i="3"/>
  <c r="BP213" i="3"/>
  <c r="BP212" i="3"/>
  <c r="BP211" i="3"/>
  <c r="BP210" i="3"/>
  <c r="BP209" i="3"/>
  <c r="BP208" i="3"/>
  <c r="BP207" i="3"/>
  <c r="BP206" i="3"/>
  <c r="BP205" i="3"/>
  <c r="BP204" i="3"/>
  <c r="BP203" i="3"/>
  <c r="BP202" i="3"/>
  <c r="BP201" i="3"/>
  <c r="BP200" i="3"/>
  <c r="BP199" i="3"/>
  <c r="BP198" i="3"/>
  <c r="BP197" i="3"/>
  <c r="BP196" i="3"/>
  <c r="BP195" i="3"/>
  <c r="BP194" i="3"/>
  <c r="BP193" i="3"/>
  <c r="BP192" i="3"/>
  <c r="BP191" i="3"/>
  <c r="BP190" i="3"/>
  <c r="BP189" i="3"/>
  <c r="BP188" i="3"/>
  <c r="BP187" i="3"/>
  <c r="BP186" i="3"/>
  <c r="BP185" i="3"/>
  <c r="BP184" i="3"/>
  <c r="BP183" i="3"/>
  <c r="BP182" i="3"/>
  <c r="BP181" i="3"/>
  <c r="BP180" i="3"/>
  <c r="BP179" i="3"/>
  <c r="BP178" i="3"/>
  <c r="BP177" i="3"/>
  <c r="BP176" i="3"/>
  <c r="BP175" i="3"/>
  <c r="BP174" i="3"/>
  <c r="BP173" i="3"/>
  <c r="BP172" i="3"/>
  <c r="BP171" i="3"/>
  <c r="BP170" i="3"/>
  <c r="BP169" i="3"/>
  <c r="BP168" i="3"/>
  <c r="BP167" i="3"/>
  <c r="BP166" i="3"/>
  <c r="BP165" i="3"/>
  <c r="BP164" i="3"/>
  <c r="BP163" i="3"/>
  <c r="BP162" i="3"/>
  <c r="BP161" i="3"/>
  <c r="BP160" i="3"/>
  <c r="BP159" i="3"/>
  <c r="BP158" i="3"/>
  <c r="BP157" i="3"/>
  <c r="BP156" i="3"/>
  <c r="BP155" i="3"/>
  <c r="BP154" i="3"/>
  <c r="BP153" i="3"/>
  <c r="BP152" i="3"/>
  <c r="BP151" i="3"/>
  <c r="BP150" i="3"/>
  <c r="BP149" i="3"/>
  <c r="BP148" i="3"/>
  <c r="BP147" i="3"/>
  <c r="BP146" i="3"/>
  <c r="BP145" i="3"/>
  <c r="BP144" i="3"/>
  <c r="BP143" i="3"/>
  <c r="BP142" i="3"/>
  <c r="BP141" i="3"/>
  <c r="BP140" i="3"/>
  <c r="BP139" i="3"/>
  <c r="BP138" i="3"/>
  <c r="BP137" i="3"/>
  <c r="BP136" i="3"/>
  <c r="BP135" i="3"/>
  <c r="BP134" i="3"/>
  <c r="BP133" i="3"/>
  <c r="BP132" i="3"/>
  <c r="BP131" i="3"/>
  <c r="BP130" i="3"/>
  <c r="BP129" i="3"/>
  <c r="BP128" i="3"/>
  <c r="BP127" i="3"/>
  <c r="BP126" i="3"/>
  <c r="BP125" i="3"/>
  <c r="BP124" i="3"/>
  <c r="BP123" i="3"/>
  <c r="BP122" i="3"/>
  <c r="BP121" i="3"/>
  <c r="BP120" i="3"/>
  <c r="BP119" i="3"/>
  <c r="BP118" i="3"/>
  <c r="BP117" i="3"/>
  <c r="BP116" i="3"/>
  <c r="BP115" i="3"/>
  <c r="BP114" i="3"/>
  <c r="BP113" i="3"/>
  <c r="BP112" i="3"/>
  <c r="BP111" i="3"/>
  <c r="BP110" i="3"/>
  <c r="BP109" i="3"/>
  <c r="BP108" i="3"/>
  <c r="BP107" i="3"/>
  <c r="BP106" i="3"/>
  <c r="BP105" i="3"/>
  <c r="BP104" i="3"/>
  <c r="BP103" i="3"/>
  <c r="BP102" i="3"/>
  <c r="BP101" i="3"/>
  <c r="BP100" i="3"/>
  <c r="BP99" i="3"/>
  <c r="BP98" i="3"/>
  <c r="BP97" i="3"/>
  <c r="BP96" i="3"/>
  <c r="BP95" i="3"/>
  <c r="BP94" i="3"/>
  <c r="BP93" i="3"/>
  <c r="BP92" i="3"/>
  <c r="BP91" i="3"/>
  <c r="BP90" i="3"/>
  <c r="BP89" i="3"/>
  <c r="BP88" i="3"/>
  <c r="BP87" i="3"/>
  <c r="BP86" i="3"/>
  <c r="BP85" i="3"/>
  <c r="BP84" i="3"/>
  <c r="BP83" i="3"/>
  <c r="BP82" i="3"/>
  <c r="BP81" i="3"/>
  <c r="BP80" i="3"/>
  <c r="BP79" i="3"/>
  <c r="BP78" i="3"/>
  <c r="BP77" i="3"/>
  <c r="BP76" i="3"/>
  <c r="BP75" i="3"/>
  <c r="BP74" i="3"/>
  <c r="BP73" i="3"/>
  <c r="BP72" i="3"/>
  <c r="BP71" i="3"/>
  <c r="BP70" i="3"/>
  <c r="BP69" i="3"/>
  <c r="BP68" i="3"/>
  <c r="BP67" i="3"/>
  <c r="BP66" i="3"/>
  <c r="BP65" i="3"/>
  <c r="BP64" i="3"/>
  <c r="BP63" i="3"/>
  <c r="BP62" i="3"/>
  <c r="BP61" i="3"/>
  <c r="BP60" i="3"/>
  <c r="BP59" i="3"/>
  <c r="BP58" i="3"/>
  <c r="BP57" i="3"/>
  <c r="BP56" i="3"/>
  <c r="BP55" i="3"/>
  <c r="BP54" i="3"/>
  <c r="BP53" i="3"/>
  <c r="BP52" i="3"/>
  <c r="BP51" i="3"/>
  <c r="BP50" i="3"/>
  <c r="BP49" i="3"/>
  <c r="BP48" i="3"/>
  <c r="BP47" i="3"/>
  <c r="BP46" i="3"/>
  <c r="BP45" i="3"/>
  <c r="BP44" i="3"/>
  <c r="BP43" i="3"/>
  <c r="BP42" i="3"/>
  <c r="BP41" i="3"/>
  <c r="BP40" i="3"/>
  <c r="BP39" i="3"/>
  <c r="BP38" i="3"/>
  <c r="BP37" i="3"/>
  <c r="BP36" i="3"/>
  <c r="BP35" i="3"/>
  <c r="BP34" i="3"/>
  <c r="BP33" i="3"/>
  <c r="BP32" i="3"/>
  <c r="BP31" i="3"/>
  <c r="BP30" i="3"/>
  <c r="BP29" i="3"/>
  <c r="BP28" i="3"/>
  <c r="BP27" i="3"/>
  <c r="BP26" i="3"/>
  <c r="BP25" i="3"/>
  <c r="BP24" i="3"/>
  <c r="BP23" i="3"/>
  <c r="BP22" i="3"/>
  <c r="BP21" i="3"/>
  <c r="BP20" i="3"/>
  <c r="BP19" i="3"/>
  <c r="BH31" i="3"/>
  <c r="BE31" i="3"/>
  <c r="BH30" i="3"/>
  <c r="BE30" i="3"/>
  <c r="BH29" i="3"/>
  <c r="BE29" i="3"/>
  <c r="BH28" i="3"/>
  <c r="BE28" i="3"/>
  <c r="BH27" i="3"/>
  <c r="BE27" i="3"/>
  <c r="BH26" i="3"/>
  <c r="BE26" i="3"/>
  <c r="BH25" i="3"/>
  <c r="BE25" i="3"/>
  <c r="BH24" i="3"/>
  <c r="BE24" i="3"/>
  <c r="BH23" i="3"/>
  <c r="BE23" i="3"/>
  <c r="BH22" i="3"/>
  <c r="BE22" i="3"/>
  <c r="BH21" i="3"/>
  <c r="BE21" i="3"/>
  <c r="BH20" i="3"/>
  <c r="BE20" i="3"/>
  <c r="BH19" i="3"/>
  <c r="BE19" i="3"/>
  <c r="BC317" i="3"/>
  <c r="BB317" i="3"/>
  <c r="BA317" i="3"/>
  <c r="AZ317" i="3"/>
  <c r="AY317" i="3"/>
  <c r="AX317" i="3"/>
  <c r="AW317" i="3"/>
  <c r="AV317" i="3"/>
  <c r="AU317" i="3"/>
  <c r="AT317" i="3"/>
  <c r="AS317" i="3"/>
  <c r="AR317" i="3"/>
  <c r="AQ317" i="3"/>
  <c r="AP317" i="3"/>
  <c r="AO317" i="3"/>
  <c r="AN317" i="3"/>
  <c r="AM317" i="3"/>
  <c r="AL317" i="3"/>
  <c r="AK317" i="3"/>
  <c r="AJ317" i="3"/>
  <c r="AI317" i="3"/>
  <c r="AH317" i="3"/>
  <c r="AG317" i="3"/>
  <c r="AF317" i="3"/>
  <c r="BC316" i="3"/>
  <c r="BB316" i="3"/>
  <c r="BA316" i="3"/>
  <c r="AZ316" i="3"/>
  <c r="AY316" i="3"/>
  <c r="AX316" i="3"/>
  <c r="AW316" i="3"/>
  <c r="AV316" i="3"/>
  <c r="AU316" i="3"/>
  <c r="AT316" i="3"/>
  <c r="AS316" i="3"/>
  <c r="AR316" i="3"/>
  <c r="AQ316" i="3"/>
  <c r="AP316" i="3"/>
  <c r="AO316" i="3"/>
  <c r="AN316" i="3"/>
  <c r="AM316" i="3"/>
  <c r="AL316" i="3"/>
  <c r="AK316" i="3"/>
  <c r="AJ316" i="3"/>
  <c r="AI316" i="3"/>
  <c r="AH316" i="3"/>
  <c r="AG316" i="3"/>
  <c r="AF316" i="3"/>
  <c r="BC315" i="3"/>
  <c r="BB315" i="3"/>
  <c r="BA315" i="3"/>
  <c r="AZ315" i="3"/>
  <c r="AY315" i="3"/>
  <c r="AX315" i="3"/>
  <c r="AW315" i="3"/>
  <c r="AV315" i="3"/>
  <c r="AU315" i="3"/>
  <c r="AT315" i="3"/>
  <c r="AS315" i="3"/>
  <c r="AR315" i="3"/>
  <c r="AQ315" i="3"/>
  <c r="AP315" i="3"/>
  <c r="AO315" i="3"/>
  <c r="AN315" i="3"/>
  <c r="AM315" i="3"/>
  <c r="AL315" i="3"/>
  <c r="AK315" i="3"/>
  <c r="AJ315" i="3"/>
  <c r="AI315" i="3"/>
  <c r="AH315" i="3"/>
  <c r="AG315" i="3"/>
  <c r="AF315" i="3"/>
  <c r="BC314" i="3"/>
  <c r="BB314" i="3"/>
  <c r="BA314" i="3"/>
  <c r="AZ314" i="3"/>
  <c r="AY314" i="3"/>
  <c r="AX314" i="3"/>
  <c r="AW314" i="3"/>
  <c r="AV314" i="3"/>
  <c r="AU314" i="3"/>
  <c r="AT314" i="3"/>
  <c r="AS314" i="3"/>
  <c r="AR314" i="3"/>
  <c r="AQ314" i="3"/>
  <c r="AP314" i="3"/>
  <c r="AO314" i="3"/>
  <c r="AN314" i="3"/>
  <c r="AM314" i="3"/>
  <c r="AL314" i="3"/>
  <c r="AK314" i="3"/>
  <c r="AJ314" i="3"/>
  <c r="AI314" i="3"/>
  <c r="AH314" i="3"/>
  <c r="AG314" i="3"/>
  <c r="AF314" i="3"/>
  <c r="BC313" i="3"/>
  <c r="BB313" i="3"/>
  <c r="BA313" i="3"/>
  <c r="AZ313" i="3"/>
  <c r="AY313" i="3"/>
  <c r="AX313" i="3"/>
  <c r="AW313" i="3"/>
  <c r="AV313" i="3"/>
  <c r="AU313" i="3"/>
  <c r="AT313" i="3"/>
  <c r="AS313" i="3"/>
  <c r="AR313" i="3"/>
  <c r="AQ313" i="3"/>
  <c r="AP313" i="3"/>
  <c r="AO313" i="3"/>
  <c r="AN313" i="3"/>
  <c r="AM313" i="3"/>
  <c r="AL313" i="3"/>
  <c r="AK313" i="3"/>
  <c r="AJ313" i="3"/>
  <c r="AI313" i="3"/>
  <c r="AH313" i="3"/>
  <c r="AG313" i="3"/>
  <c r="AF313" i="3"/>
  <c r="BC312" i="3"/>
  <c r="BB312" i="3"/>
  <c r="BA312" i="3"/>
  <c r="AZ312" i="3"/>
  <c r="AY312" i="3"/>
  <c r="AX312" i="3"/>
  <c r="AW312" i="3"/>
  <c r="AV312" i="3"/>
  <c r="AU312" i="3"/>
  <c r="AT312" i="3"/>
  <c r="AS312" i="3"/>
  <c r="AR312" i="3"/>
  <c r="AQ312" i="3"/>
  <c r="AP312" i="3"/>
  <c r="AO312" i="3"/>
  <c r="AN312" i="3"/>
  <c r="AM312" i="3"/>
  <c r="AL312" i="3"/>
  <c r="AK312" i="3"/>
  <c r="AJ312" i="3"/>
  <c r="AI312" i="3"/>
  <c r="AH312" i="3"/>
  <c r="AG312" i="3"/>
  <c r="AF312" i="3"/>
  <c r="BC311" i="3"/>
  <c r="BB311" i="3"/>
  <c r="BA311" i="3"/>
  <c r="AZ311" i="3"/>
  <c r="AY311" i="3"/>
  <c r="AX311" i="3"/>
  <c r="AW311" i="3"/>
  <c r="AV311" i="3"/>
  <c r="AU311" i="3"/>
  <c r="AT311" i="3"/>
  <c r="AS311" i="3"/>
  <c r="AR311" i="3"/>
  <c r="AQ311" i="3"/>
  <c r="AP311" i="3"/>
  <c r="AO311" i="3"/>
  <c r="AN311" i="3"/>
  <c r="AM311" i="3"/>
  <c r="AL311" i="3"/>
  <c r="AK311" i="3"/>
  <c r="AJ311" i="3"/>
  <c r="AI311" i="3"/>
  <c r="AH311" i="3"/>
  <c r="AG311" i="3"/>
  <c r="AF311" i="3"/>
  <c r="BC310" i="3"/>
  <c r="BB310" i="3"/>
  <c r="BA310" i="3"/>
  <c r="AZ310" i="3"/>
  <c r="AY310" i="3"/>
  <c r="AX310" i="3"/>
  <c r="AW310" i="3"/>
  <c r="AV310" i="3"/>
  <c r="AU310" i="3"/>
  <c r="AT310" i="3"/>
  <c r="AS310" i="3"/>
  <c r="AR310" i="3"/>
  <c r="AQ310" i="3"/>
  <c r="AP310" i="3"/>
  <c r="AO310" i="3"/>
  <c r="AN310" i="3"/>
  <c r="AM310" i="3"/>
  <c r="AL310" i="3"/>
  <c r="AK310" i="3"/>
  <c r="AJ310" i="3"/>
  <c r="AI310" i="3"/>
  <c r="AH310" i="3"/>
  <c r="AG310" i="3"/>
  <c r="AF310" i="3"/>
  <c r="BC309" i="3"/>
  <c r="BB309" i="3"/>
  <c r="BA309" i="3"/>
  <c r="AZ309" i="3"/>
  <c r="AY309" i="3"/>
  <c r="AX309" i="3"/>
  <c r="AW309" i="3"/>
  <c r="AV309" i="3"/>
  <c r="AU309" i="3"/>
  <c r="AT309" i="3"/>
  <c r="AS309" i="3"/>
  <c r="AR309" i="3"/>
  <c r="AQ309" i="3"/>
  <c r="AP309" i="3"/>
  <c r="AO309" i="3"/>
  <c r="AN309" i="3"/>
  <c r="AM309" i="3"/>
  <c r="AL309" i="3"/>
  <c r="AK309" i="3"/>
  <c r="AJ309" i="3"/>
  <c r="AI309" i="3"/>
  <c r="AH309" i="3"/>
  <c r="AG309" i="3"/>
  <c r="AF309" i="3"/>
  <c r="BC308" i="3"/>
  <c r="BB308" i="3"/>
  <c r="BA308" i="3"/>
  <c r="AZ308" i="3"/>
  <c r="AY308" i="3"/>
  <c r="AX308" i="3"/>
  <c r="AW308" i="3"/>
  <c r="AV308" i="3"/>
  <c r="AU308" i="3"/>
  <c r="AT308" i="3"/>
  <c r="AS308" i="3"/>
  <c r="AR308" i="3"/>
  <c r="AQ308" i="3"/>
  <c r="AP308" i="3"/>
  <c r="AO308" i="3"/>
  <c r="AN308" i="3"/>
  <c r="AM308" i="3"/>
  <c r="AL308" i="3"/>
  <c r="AK308" i="3"/>
  <c r="AJ308" i="3"/>
  <c r="AI308" i="3"/>
  <c r="AH308" i="3"/>
  <c r="AG308" i="3"/>
  <c r="AF308" i="3"/>
  <c r="BC307" i="3"/>
  <c r="BB307" i="3"/>
  <c r="BA307" i="3"/>
  <c r="AZ307" i="3"/>
  <c r="AY307" i="3"/>
  <c r="AX307" i="3"/>
  <c r="AW307" i="3"/>
  <c r="AV307" i="3"/>
  <c r="AU307" i="3"/>
  <c r="AT307" i="3"/>
  <c r="AS307" i="3"/>
  <c r="AR307" i="3"/>
  <c r="AQ307" i="3"/>
  <c r="AP307" i="3"/>
  <c r="AO307" i="3"/>
  <c r="AN307" i="3"/>
  <c r="AM307" i="3"/>
  <c r="AL307" i="3"/>
  <c r="AK307" i="3"/>
  <c r="AJ307" i="3"/>
  <c r="AI307" i="3"/>
  <c r="AH307" i="3"/>
  <c r="AG307" i="3"/>
  <c r="AF307" i="3"/>
  <c r="BC306" i="3"/>
  <c r="BB306" i="3"/>
  <c r="BA306" i="3"/>
  <c r="AZ306" i="3"/>
  <c r="AY306" i="3"/>
  <c r="AX306" i="3"/>
  <c r="AW306" i="3"/>
  <c r="AV306" i="3"/>
  <c r="AU306" i="3"/>
  <c r="AT306" i="3"/>
  <c r="AS306" i="3"/>
  <c r="AR306" i="3"/>
  <c r="AQ306" i="3"/>
  <c r="AP306" i="3"/>
  <c r="AO306" i="3"/>
  <c r="AN306" i="3"/>
  <c r="AM306" i="3"/>
  <c r="AL306" i="3"/>
  <c r="AK306" i="3"/>
  <c r="AJ306" i="3"/>
  <c r="AI306" i="3"/>
  <c r="AH306" i="3"/>
  <c r="AG306" i="3"/>
  <c r="AF306" i="3"/>
  <c r="BC305" i="3"/>
  <c r="BB305" i="3"/>
  <c r="BA305" i="3"/>
  <c r="AZ305" i="3"/>
  <c r="AY305" i="3"/>
  <c r="AX305" i="3"/>
  <c r="AW305" i="3"/>
  <c r="AV305" i="3"/>
  <c r="AU305" i="3"/>
  <c r="AT305" i="3"/>
  <c r="AS305" i="3"/>
  <c r="AR305" i="3"/>
  <c r="AQ305" i="3"/>
  <c r="AP305" i="3"/>
  <c r="AO305" i="3"/>
  <c r="AN305" i="3"/>
  <c r="AM305" i="3"/>
  <c r="AL305" i="3"/>
  <c r="AK305" i="3"/>
  <c r="AJ305" i="3"/>
  <c r="AI305" i="3"/>
  <c r="AH305" i="3"/>
  <c r="AG305" i="3"/>
  <c r="AF305" i="3"/>
  <c r="BC304" i="3"/>
  <c r="BB304" i="3"/>
  <c r="BA304" i="3"/>
  <c r="AZ304" i="3"/>
  <c r="AY304" i="3"/>
  <c r="AX304" i="3"/>
  <c r="AW304" i="3"/>
  <c r="AV304" i="3"/>
  <c r="AU304" i="3"/>
  <c r="AT304" i="3"/>
  <c r="AS304" i="3"/>
  <c r="AR304" i="3"/>
  <c r="AQ304" i="3"/>
  <c r="AP304" i="3"/>
  <c r="AO304" i="3"/>
  <c r="AN304" i="3"/>
  <c r="AM304" i="3"/>
  <c r="AL304" i="3"/>
  <c r="AK304" i="3"/>
  <c r="AJ304" i="3"/>
  <c r="AI304" i="3"/>
  <c r="AH304" i="3"/>
  <c r="AG304" i="3"/>
  <c r="AF304" i="3"/>
  <c r="BC303" i="3"/>
  <c r="BB303" i="3"/>
  <c r="BA303" i="3"/>
  <c r="AZ303" i="3"/>
  <c r="AY303" i="3"/>
  <c r="AX303" i="3"/>
  <c r="AW303" i="3"/>
  <c r="AV303" i="3"/>
  <c r="AU303" i="3"/>
  <c r="AT303" i="3"/>
  <c r="AS303" i="3"/>
  <c r="AR303" i="3"/>
  <c r="AQ303" i="3"/>
  <c r="AP303" i="3"/>
  <c r="AO303" i="3"/>
  <c r="AN303" i="3"/>
  <c r="AM303" i="3"/>
  <c r="AL303" i="3"/>
  <c r="AK303" i="3"/>
  <c r="AJ303" i="3"/>
  <c r="AI303" i="3"/>
  <c r="AH303" i="3"/>
  <c r="AG303" i="3"/>
  <c r="AF303" i="3"/>
  <c r="BC302" i="3"/>
  <c r="BB302" i="3"/>
  <c r="BA302" i="3"/>
  <c r="AZ302" i="3"/>
  <c r="AY302" i="3"/>
  <c r="AX302" i="3"/>
  <c r="AW302" i="3"/>
  <c r="AV302" i="3"/>
  <c r="AU302" i="3"/>
  <c r="AT302" i="3"/>
  <c r="AS302" i="3"/>
  <c r="AR302" i="3"/>
  <c r="AQ302" i="3"/>
  <c r="AP302" i="3"/>
  <c r="AO302" i="3"/>
  <c r="AN302" i="3"/>
  <c r="AM302" i="3"/>
  <c r="AL302" i="3"/>
  <c r="AK302" i="3"/>
  <c r="AJ302" i="3"/>
  <c r="AI302" i="3"/>
  <c r="AH302" i="3"/>
  <c r="AG302" i="3"/>
  <c r="AF302" i="3"/>
  <c r="BC301" i="3"/>
  <c r="BB301" i="3"/>
  <c r="BA301" i="3"/>
  <c r="AZ301" i="3"/>
  <c r="AY301" i="3"/>
  <c r="AX301" i="3"/>
  <c r="AW301" i="3"/>
  <c r="AV301" i="3"/>
  <c r="AU301" i="3"/>
  <c r="AT301" i="3"/>
  <c r="AS301" i="3"/>
  <c r="AR301" i="3"/>
  <c r="AQ301" i="3"/>
  <c r="AP301" i="3"/>
  <c r="AO301" i="3"/>
  <c r="AN301" i="3"/>
  <c r="AM301" i="3"/>
  <c r="AL301" i="3"/>
  <c r="AK301" i="3"/>
  <c r="AJ301" i="3"/>
  <c r="AI301" i="3"/>
  <c r="AH301" i="3"/>
  <c r="AG301" i="3"/>
  <c r="AF301" i="3"/>
  <c r="BC300" i="3"/>
  <c r="BB300" i="3"/>
  <c r="BA300" i="3"/>
  <c r="AZ300" i="3"/>
  <c r="AY300" i="3"/>
  <c r="AX300" i="3"/>
  <c r="AW300" i="3"/>
  <c r="AV300" i="3"/>
  <c r="AU300" i="3"/>
  <c r="AT300" i="3"/>
  <c r="AS300" i="3"/>
  <c r="AR300" i="3"/>
  <c r="AQ300" i="3"/>
  <c r="AP300" i="3"/>
  <c r="AO300" i="3"/>
  <c r="AN300" i="3"/>
  <c r="AM300" i="3"/>
  <c r="AL300" i="3"/>
  <c r="AK300" i="3"/>
  <c r="AJ300" i="3"/>
  <c r="AI300" i="3"/>
  <c r="AH300" i="3"/>
  <c r="AG300" i="3"/>
  <c r="AF300" i="3"/>
  <c r="BC299" i="3"/>
  <c r="BB299" i="3"/>
  <c r="BA299" i="3"/>
  <c r="AZ299" i="3"/>
  <c r="AY299" i="3"/>
  <c r="AX299" i="3"/>
  <c r="AW299" i="3"/>
  <c r="AV299" i="3"/>
  <c r="AU299" i="3"/>
  <c r="AT299" i="3"/>
  <c r="AS299" i="3"/>
  <c r="AR299" i="3"/>
  <c r="AQ299" i="3"/>
  <c r="AP299" i="3"/>
  <c r="AO299" i="3"/>
  <c r="AN299" i="3"/>
  <c r="AM299" i="3"/>
  <c r="AL299" i="3"/>
  <c r="AK299" i="3"/>
  <c r="AJ299" i="3"/>
  <c r="AI299" i="3"/>
  <c r="AH299" i="3"/>
  <c r="AG299" i="3"/>
  <c r="AF299" i="3"/>
  <c r="BC298" i="3"/>
  <c r="BB298" i="3"/>
  <c r="BA298" i="3"/>
  <c r="AZ298" i="3"/>
  <c r="AY298" i="3"/>
  <c r="AX298" i="3"/>
  <c r="AW298" i="3"/>
  <c r="AV298" i="3"/>
  <c r="AU298" i="3"/>
  <c r="AT298" i="3"/>
  <c r="AS298" i="3"/>
  <c r="AR298" i="3"/>
  <c r="AQ298" i="3"/>
  <c r="AP298" i="3"/>
  <c r="AO298" i="3"/>
  <c r="AN298" i="3"/>
  <c r="AM298" i="3"/>
  <c r="AL298" i="3"/>
  <c r="AK298" i="3"/>
  <c r="AJ298" i="3"/>
  <c r="AI298" i="3"/>
  <c r="AH298" i="3"/>
  <c r="AG298" i="3"/>
  <c r="AF298" i="3"/>
  <c r="BC297" i="3"/>
  <c r="BB297" i="3"/>
  <c r="BA297" i="3"/>
  <c r="AZ297" i="3"/>
  <c r="AY297" i="3"/>
  <c r="AX297" i="3"/>
  <c r="AW297" i="3"/>
  <c r="AV297" i="3"/>
  <c r="AU297" i="3"/>
  <c r="AT297" i="3"/>
  <c r="AS297" i="3"/>
  <c r="AR297" i="3"/>
  <c r="AQ297" i="3"/>
  <c r="AP297" i="3"/>
  <c r="AO297" i="3"/>
  <c r="AN297" i="3"/>
  <c r="AM297" i="3"/>
  <c r="AL297" i="3"/>
  <c r="AK297" i="3"/>
  <c r="AJ297" i="3"/>
  <c r="AI297" i="3"/>
  <c r="AH297" i="3"/>
  <c r="AG297" i="3"/>
  <c r="AF297" i="3"/>
  <c r="BC296" i="3"/>
  <c r="BB296" i="3"/>
  <c r="BA296" i="3"/>
  <c r="AZ296" i="3"/>
  <c r="AY296" i="3"/>
  <c r="AX296" i="3"/>
  <c r="AW296" i="3"/>
  <c r="AV296" i="3"/>
  <c r="AU296" i="3"/>
  <c r="AT296" i="3"/>
  <c r="AS296" i="3"/>
  <c r="AR296" i="3"/>
  <c r="AQ296" i="3"/>
  <c r="AP296" i="3"/>
  <c r="AO296" i="3"/>
  <c r="AN296" i="3"/>
  <c r="AM296" i="3"/>
  <c r="AL296" i="3"/>
  <c r="AK296" i="3"/>
  <c r="AJ296" i="3"/>
  <c r="AI296" i="3"/>
  <c r="AH296" i="3"/>
  <c r="AG296" i="3"/>
  <c r="AF296" i="3"/>
  <c r="BC295" i="3"/>
  <c r="BB295" i="3"/>
  <c r="BA295" i="3"/>
  <c r="AZ295" i="3"/>
  <c r="AY295" i="3"/>
  <c r="AX295" i="3"/>
  <c r="AW295" i="3"/>
  <c r="AV295" i="3"/>
  <c r="AU295" i="3"/>
  <c r="AT295" i="3"/>
  <c r="AS295" i="3"/>
  <c r="AR295" i="3"/>
  <c r="AQ295" i="3"/>
  <c r="AP295" i="3"/>
  <c r="AO295" i="3"/>
  <c r="AN295" i="3"/>
  <c r="AM295" i="3"/>
  <c r="AL295" i="3"/>
  <c r="AK295" i="3"/>
  <c r="AJ295" i="3"/>
  <c r="AI295" i="3"/>
  <c r="AH295" i="3"/>
  <c r="AG295" i="3"/>
  <c r="AF295" i="3"/>
  <c r="BC294" i="3"/>
  <c r="BB294" i="3"/>
  <c r="BA294" i="3"/>
  <c r="AZ294" i="3"/>
  <c r="AY294" i="3"/>
  <c r="AX294" i="3"/>
  <c r="AW294" i="3"/>
  <c r="AV294" i="3"/>
  <c r="AU294" i="3"/>
  <c r="AT294" i="3"/>
  <c r="AS294" i="3"/>
  <c r="AR294" i="3"/>
  <c r="AQ294" i="3"/>
  <c r="AP294" i="3"/>
  <c r="AO294" i="3"/>
  <c r="AN294" i="3"/>
  <c r="AM294" i="3"/>
  <c r="AL294" i="3"/>
  <c r="AK294" i="3"/>
  <c r="AJ294" i="3"/>
  <c r="AI294" i="3"/>
  <c r="AH294" i="3"/>
  <c r="AG294" i="3"/>
  <c r="AF294" i="3"/>
  <c r="BC293" i="3"/>
  <c r="BB293" i="3"/>
  <c r="BA293" i="3"/>
  <c r="AZ293" i="3"/>
  <c r="AY293" i="3"/>
  <c r="AX293" i="3"/>
  <c r="AW293" i="3"/>
  <c r="AV293" i="3"/>
  <c r="AU293" i="3"/>
  <c r="AT293" i="3"/>
  <c r="AS293" i="3"/>
  <c r="AR293" i="3"/>
  <c r="AQ293" i="3"/>
  <c r="AP293" i="3"/>
  <c r="AO293" i="3"/>
  <c r="AN293" i="3"/>
  <c r="AM293" i="3"/>
  <c r="AL293" i="3"/>
  <c r="AK293" i="3"/>
  <c r="AJ293" i="3"/>
  <c r="AI293" i="3"/>
  <c r="AH293" i="3"/>
  <c r="AG293" i="3"/>
  <c r="AF293" i="3"/>
  <c r="BC292" i="3"/>
  <c r="BB292" i="3"/>
  <c r="BA292" i="3"/>
  <c r="AZ292" i="3"/>
  <c r="AY292" i="3"/>
  <c r="AX292" i="3"/>
  <c r="AW292" i="3"/>
  <c r="AV292" i="3"/>
  <c r="AU292" i="3"/>
  <c r="AT292" i="3"/>
  <c r="AS292" i="3"/>
  <c r="AR292" i="3"/>
  <c r="AQ292" i="3"/>
  <c r="AP292" i="3"/>
  <c r="AO292" i="3"/>
  <c r="AN292" i="3"/>
  <c r="AM292" i="3"/>
  <c r="AL292" i="3"/>
  <c r="AK292" i="3"/>
  <c r="AJ292" i="3"/>
  <c r="AI292" i="3"/>
  <c r="AH292" i="3"/>
  <c r="AG292" i="3"/>
  <c r="AF292" i="3"/>
  <c r="BC291" i="3"/>
  <c r="BB291" i="3"/>
  <c r="BA291" i="3"/>
  <c r="AZ291" i="3"/>
  <c r="AY291" i="3"/>
  <c r="AX291" i="3"/>
  <c r="AW291" i="3"/>
  <c r="AV291" i="3"/>
  <c r="AU291" i="3"/>
  <c r="AT291" i="3"/>
  <c r="AS291" i="3"/>
  <c r="AR291" i="3"/>
  <c r="AQ291" i="3"/>
  <c r="AP291" i="3"/>
  <c r="AO291" i="3"/>
  <c r="AN291" i="3"/>
  <c r="AM291" i="3"/>
  <c r="AL291" i="3"/>
  <c r="AK291" i="3"/>
  <c r="AJ291" i="3"/>
  <c r="AI291" i="3"/>
  <c r="AH291" i="3"/>
  <c r="AG291" i="3"/>
  <c r="AF291" i="3"/>
  <c r="BC290" i="3"/>
  <c r="BB290" i="3"/>
  <c r="BA290" i="3"/>
  <c r="AZ290" i="3"/>
  <c r="AY290" i="3"/>
  <c r="AX290" i="3"/>
  <c r="AW290" i="3"/>
  <c r="AV290" i="3"/>
  <c r="AU290" i="3"/>
  <c r="AT290" i="3"/>
  <c r="AS290" i="3"/>
  <c r="AR290" i="3"/>
  <c r="AQ290" i="3"/>
  <c r="AP290" i="3"/>
  <c r="AO290" i="3"/>
  <c r="AN290" i="3"/>
  <c r="AM290" i="3"/>
  <c r="AL290" i="3"/>
  <c r="AK290" i="3"/>
  <c r="AJ290" i="3"/>
  <c r="AI290" i="3"/>
  <c r="AH290" i="3"/>
  <c r="AG290" i="3"/>
  <c r="AF290" i="3"/>
  <c r="BC289" i="3"/>
  <c r="BB289" i="3"/>
  <c r="BA289" i="3"/>
  <c r="AZ289" i="3"/>
  <c r="AY289" i="3"/>
  <c r="AX289" i="3"/>
  <c r="AW289" i="3"/>
  <c r="AV289" i="3"/>
  <c r="AU289" i="3"/>
  <c r="AT289" i="3"/>
  <c r="AS289" i="3"/>
  <c r="AR289" i="3"/>
  <c r="AQ289" i="3"/>
  <c r="AP289" i="3"/>
  <c r="AO289" i="3"/>
  <c r="AN289" i="3"/>
  <c r="AM289" i="3"/>
  <c r="AL289" i="3"/>
  <c r="AK289" i="3"/>
  <c r="AJ289" i="3"/>
  <c r="AI289" i="3"/>
  <c r="AH289" i="3"/>
  <c r="AG289" i="3"/>
  <c r="AF289" i="3"/>
  <c r="BC288" i="3"/>
  <c r="BB288" i="3"/>
  <c r="BA288" i="3"/>
  <c r="AZ288" i="3"/>
  <c r="AY288" i="3"/>
  <c r="AX288" i="3"/>
  <c r="AW288" i="3"/>
  <c r="AV288" i="3"/>
  <c r="AU288" i="3"/>
  <c r="AT288" i="3"/>
  <c r="AS288" i="3"/>
  <c r="AR288" i="3"/>
  <c r="AQ288" i="3"/>
  <c r="AP288" i="3"/>
  <c r="AO288" i="3"/>
  <c r="AN288" i="3"/>
  <c r="AM288" i="3"/>
  <c r="AL288" i="3"/>
  <c r="AK288" i="3"/>
  <c r="AJ288" i="3"/>
  <c r="AI288" i="3"/>
  <c r="AH288" i="3"/>
  <c r="AG288" i="3"/>
  <c r="AF288" i="3"/>
  <c r="BC287" i="3"/>
  <c r="BB287" i="3"/>
  <c r="BA287" i="3"/>
  <c r="AZ287" i="3"/>
  <c r="AY287" i="3"/>
  <c r="AX287" i="3"/>
  <c r="AW287" i="3"/>
  <c r="AV287" i="3"/>
  <c r="AU287" i="3"/>
  <c r="AT287" i="3"/>
  <c r="AS287" i="3"/>
  <c r="AR287" i="3"/>
  <c r="AQ287" i="3"/>
  <c r="AP287" i="3"/>
  <c r="AO287" i="3"/>
  <c r="AN287" i="3"/>
  <c r="AM287" i="3"/>
  <c r="AL287" i="3"/>
  <c r="AK287" i="3"/>
  <c r="AJ287" i="3"/>
  <c r="AI287" i="3"/>
  <c r="AH287" i="3"/>
  <c r="AG287" i="3"/>
  <c r="AF287" i="3"/>
  <c r="BC286" i="3"/>
  <c r="BB286" i="3"/>
  <c r="BA286" i="3"/>
  <c r="AZ286" i="3"/>
  <c r="AY286" i="3"/>
  <c r="AX286" i="3"/>
  <c r="AW286" i="3"/>
  <c r="AV286" i="3"/>
  <c r="AU286" i="3"/>
  <c r="AT286" i="3"/>
  <c r="AS286" i="3"/>
  <c r="AR286" i="3"/>
  <c r="AQ286" i="3"/>
  <c r="AP286" i="3"/>
  <c r="AO286" i="3"/>
  <c r="AN286" i="3"/>
  <c r="AM286" i="3"/>
  <c r="AL286" i="3"/>
  <c r="AK286" i="3"/>
  <c r="AJ286" i="3"/>
  <c r="AI286" i="3"/>
  <c r="AH286" i="3"/>
  <c r="AG286" i="3"/>
  <c r="AF286" i="3"/>
  <c r="BC285" i="3"/>
  <c r="BB285" i="3"/>
  <c r="BA285" i="3"/>
  <c r="AZ285" i="3"/>
  <c r="AY285" i="3"/>
  <c r="AX285" i="3"/>
  <c r="AW285" i="3"/>
  <c r="AV285" i="3"/>
  <c r="AU285" i="3"/>
  <c r="AT285" i="3"/>
  <c r="AS285" i="3"/>
  <c r="AR285" i="3"/>
  <c r="AQ285" i="3"/>
  <c r="AP285" i="3"/>
  <c r="AO285" i="3"/>
  <c r="AN285" i="3"/>
  <c r="AM285" i="3"/>
  <c r="AL285" i="3"/>
  <c r="AK285" i="3"/>
  <c r="AJ285" i="3"/>
  <c r="AI285" i="3"/>
  <c r="AH285" i="3"/>
  <c r="AG285" i="3"/>
  <c r="AF285" i="3"/>
  <c r="BC284" i="3"/>
  <c r="BB284" i="3"/>
  <c r="BA284" i="3"/>
  <c r="AZ284" i="3"/>
  <c r="AY284" i="3"/>
  <c r="AX284" i="3"/>
  <c r="AW284" i="3"/>
  <c r="AV284" i="3"/>
  <c r="AU284" i="3"/>
  <c r="AT284" i="3"/>
  <c r="AS284" i="3"/>
  <c r="AR284" i="3"/>
  <c r="AQ284" i="3"/>
  <c r="AP284" i="3"/>
  <c r="AO284" i="3"/>
  <c r="AN284" i="3"/>
  <c r="AM284" i="3"/>
  <c r="AL284" i="3"/>
  <c r="AK284" i="3"/>
  <c r="AJ284" i="3"/>
  <c r="AI284" i="3"/>
  <c r="AH284" i="3"/>
  <c r="AG284" i="3"/>
  <c r="AF284" i="3"/>
  <c r="BC283" i="3"/>
  <c r="BB283" i="3"/>
  <c r="BA283" i="3"/>
  <c r="AZ283" i="3"/>
  <c r="AY283" i="3"/>
  <c r="AX283" i="3"/>
  <c r="AW283" i="3"/>
  <c r="AV283" i="3"/>
  <c r="AU283" i="3"/>
  <c r="AT283" i="3"/>
  <c r="AS283" i="3"/>
  <c r="AR283" i="3"/>
  <c r="AQ283" i="3"/>
  <c r="AP283" i="3"/>
  <c r="AO283" i="3"/>
  <c r="AN283" i="3"/>
  <c r="AM283" i="3"/>
  <c r="AL283" i="3"/>
  <c r="AK283" i="3"/>
  <c r="AJ283" i="3"/>
  <c r="AI283" i="3"/>
  <c r="AH283" i="3"/>
  <c r="AG283" i="3"/>
  <c r="AF283" i="3"/>
  <c r="BC282" i="3"/>
  <c r="BB282" i="3"/>
  <c r="BA282" i="3"/>
  <c r="AZ282" i="3"/>
  <c r="AY282" i="3"/>
  <c r="AX282" i="3"/>
  <c r="AW282" i="3"/>
  <c r="AV282" i="3"/>
  <c r="AU282" i="3"/>
  <c r="AT282" i="3"/>
  <c r="AS282" i="3"/>
  <c r="AR282" i="3"/>
  <c r="AQ282" i="3"/>
  <c r="AP282" i="3"/>
  <c r="AO282" i="3"/>
  <c r="AN282" i="3"/>
  <c r="AM282" i="3"/>
  <c r="AL282" i="3"/>
  <c r="AK282" i="3"/>
  <c r="AJ282" i="3"/>
  <c r="AI282" i="3"/>
  <c r="AH282" i="3"/>
  <c r="AG282" i="3"/>
  <c r="AF282" i="3"/>
  <c r="BC281" i="3"/>
  <c r="BB281" i="3"/>
  <c r="BA281" i="3"/>
  <c r="AZ281" i="3"/>
  <c r="AY281" i="3"/>
  <c r="AX281" i="3"/>
  <c r="AW281" i="3"/>
  <c r="AV281" i="3"/>
  <c r="AU281" i="3"/>
  <c r="AT281" i="3"/>
  <c r="AS281" i="3"/>
  <c r="AR281" i="3"/>
  <c r="AQ281" i="3"/>
  <c r="AP281" i="3"/>
  <c r="AO281" i="3"/>
  <c r="AN281" i="3"/>
  <c r="AM281" i="3"/>
  <c r="AL281" i="3"/>
  <c r="AK281" i="3"/>
  <c r="AJ281" i="3"/>
  <c r="AI281" i="3"/>
  <c r="AH281" i="3"/>
  <c r="AG281" i="3"/>
  <c r="AF281" i="3"/>
  <c r="BC280" i="3"/>
  <c r="BB280" i="3"/>
  <c r="BA280" i="3"/>
  <c r="AZ280" i="3"/>
  <c r="AY280" i="3"/>
  <c r="AX280" i="3"/>
  <c r="AW280" i="3"/>
  <c r="AV280" i="3"/>
  <c r="AU280" i="3"/>
  <c r="AT280" i="3"/>
  <c r="AS280" i="3"/>
  <c r="AR280" i="3"/>
  <c r="AQ280" i="3"/>
  <c r="AP280" i="3"/>
  <c r="AO280" i="3"/>
  <c r="AN280" i="3"/>
  <c r="AM280" i="3"/>
  <c r="AL280" i="3"/>
  <c r="AK280" i="3"/>
  <c r="AJ280" i="3"/>
  <c r="AI280" i="3"/>
  <c r="AH280" i="3"/>
  <c r="AG280" i="3"/>
  <c r="AF280" i="3"/>
  <c r="BC279" i="3"/>
  <c r="BB279" i="3"/>
  <c r="BA279" i="3"/>
  <c r="AZ279" i="3"/>
  <c r="AY279" i="3"/>
  <c r="AX279" i="3"/>
  <c r="AW279" i="3"/>
  <c r="AV279" i="3"/>
  <c r="AU279" i="3"/>
  <c r="AT279" i="3"/>
  <c r="AS279" i="3"/>
  <c r="AR279" i="3"/>
  <c r="AQ279" i="3"/>
  <c r="AP279" i="3"/>
  <c r="AO279" i="3"/>
  <c r="AN279" i="3"/>
  <c r="AM279" i="3"/>
  <c r="AL279" i="3"/>
  <c r="AK279" i="3"/>
  <c r="AJ279" i="3"/>
  <c r="AI279" i="3"/>
  <c r="AH279" i="3"/>
  <c r="AG279" i="3"/>
  <c r="AF279" i="3"/>
  <c r="BC278" i="3"/>
  <c r="BB278" i="3"/>
  <c r="BA278" i="3"/>
  <c r="AZ278" i="3"/>
  <c r="AY278" i="3"/>
  <c r="AX278" i="3"/>
  <c r="AW278" i="3"/>
  <c r="AV278" i="3"/>
  <c r="AU278" i="3"/>
  <c r="AT278" i="3"/>
  <c r="AS278" i="3"/>
  <c r="AR278" i="3"/>
  <c r="AQ278" i="3"/>
  <c r="AP278" i="3"/>
  <c r="AO278" i="3"/>
  <c r="AN278" i="3"/>
  <c r="AM278" i="3"/>
  <c r="AL278" i="3"/>
  <c r="AK278" i="3"/>
  <c r="AJ278" i="3"/>
  <c r="AI278" i="3"/>
  <c r="AH278" i="3"/>
  <c r="AG278" i="3"/>
  <c r="AF278" i="3"/>
  <c r="BC277" i="3"/>
  <c r="BB277" i="3"/>
  <c r="BA277" i="3"/>
  <c r="AZ277" i="3"/>
  <c r="AY277" i="3"/>
  <c r="AX277" i="3"/>
  <c r="AW277" i="3"/>
  <c r="AV277" i="3"/>
  <c r="AU277" i="3"/>
  <c r="AT277" i="3"/>
  <c r="AS277" i="3"/>
  <c r="AR277" i="3"/>
  <c r="AQ277" i="3"/>
  <c r="AP277" i="3"/>
  <c r="AO277" i="3"/>
  <c r="AN277" i="3"/>
  <c r="AM277" i="3"/>
  <c r="AL277" i="3"/>
  <c r="AK277" i="3"/>
  <c r="AJ277" i="3"/>
  <c r="AI277" i="3"/>
  <c r="AH277" i="3"/>
  <c r="AG277" i="3"/>
  <c r="AF277" i="3"/>
  <c r="BC276" i="3"/>
  <c r="BB276" i="3"/>
  <c r="BA276" i="3"/>
  <c r="AZ276" i="3"/>
  <c r="AY276" i="3"/>
  <c r="AX276" i="3"/>
  <c r="AW276" i="3"/>
  <c r="AV276" i="3"/>
  <c r="AU276" i="3"/>
  <c r="AT276" i="3"/>
  <c r="AS276" i="3"/>
  <c r="AR276" i="3"/>
  <c r="AQ276" i="3"/>
  <c r="AP276" i="3"/>
  <c r="AO276" i="3"/>
  <c r="AN276" i="3"/>
  <c r="AM276" i="3"/>
  <c r="AL276" i="3"/>
  <c r="AK276" i="3"/>
  <c r="AJ276" i="3"/>
  <c r="AI276" i="3"/>
  <c r="AH276" i="3"/>
  <c r="AG276" i="3"/>
  <c r="AF276" i="3"/>
  <c r="BC275" i="3"/>
  <c r="BB275" i="3"/>
  <c r="BA275" i="3"/>
  <c r="AZ275" i="3"/>
  <c r="AY275" i="3"/>
  <c r="AX275" i="3"/>
  <c r="AW275" i="3"/>
  <c r="AV275" i="3"/>
  <c r="AU275" i="3"/>
  <c r="AT275" i="3"/>
  <c r="AS275" i="3"/>
  <c r="AR275" i="3"/>
  <c r="AQ275" i="3"/>
  <c r="AP275" i="3"/>
  <c r="AO275" i="3"/>
  <c r="AN275" i="3"/>
  <c r="AM275" i="3"/>
  <c r="AL275" i="3"/>
  <c r="AK275" i="3"/>
  <c r="AJ275" i="3"/>
  <c r="AI275" i="3"/>
  <c r="AH275" i="3"/>
  <c r="AG275" i="3"/>
  <c r="AF275" i="3"/>
  <c r="BC274" i="3"/>
  <c r="BB274" i="3"/>
  <c r="BA274" i="3"/>
  <c r="AZ274" i="3"/>
  <c r="AY274" i="3"/>
  <c r="AX274" i="3"/>
  <c r="AW274" i="3"/>
  <c r="AV274" i="3"/>
  <c r="AU274" i="3"/>
  <c r="AT274" i="3"/>
  <c r="AS274" i="3"/>
  <c r="AR274" i="3"/>
  <c r="AQ274" i="3"/>
  <c r="AP274" i="3"/>
  <c r="AO274" i="3"/>
  <c r="AN274" i="3"/>
  <c r="AM274" i="3"/>
  <c r="AL274" i="3"/>
  <c r="AK274" i="3"/>
  <c r="AJ274" i="3"/>
  <c r="AI274" i="3"/>
  <c r="AH274" i="3"/>
  <c r="AG274" i="3"/>
  <c r="AF274" i="3"/>
  <c r="BC273" i="3"/>
  <c r="BB273" i="3"/>
  <c r="BA273" i="3"/>
  <c r="AZ273" i="3"/>
  <c r="AY273" i="3"/>
  <c r="AX273" i="3"/>
  <c r="AW273" i="3"/>
  <c r="AV273" i="3"/>
  <c r="AU273" i="3"/>
  <c r="AT273" i="3"/>
  <c r="AS273" i="3"/>
  <c r="AR273" i="3"/>
  <c r="AQ273" i="3"/>
  <c r="AP273" i="3"/>
  <c r="AO273" i="3"/>
  <c r="AN273" i="3"/>
  <c r="AM273" i="3"/>
  <c r="AL273" i="3"/>
  <c r="AK273" i="3"/>
  <c r="AJ273" i="3"/>
  <c r="AI273" i="3"/>
  <c r="AH273" i="3"/>
  <c r="AG273" i="3"/>
  <c r="AF273" i="3"/>
  <c r="BC272" i="3"/>
  <c r="BB272" i="3"/>
  <c r="BA272" i="3"/>
  <c r="AZ272" i="3"/>
  <c r="AY272" i="3"/>
  <c r="AX272" i="3"/>
  <c r="AW272" i="3"/>
  <c r="AV272" i="3"/>
  <c r="AU272" i="3"/>
  <c r="AT272" i="3"/>
  <c r="AS272" i="3"/>
  <c r="AR272" i="3"/>
  <c r="AQ272" i="3"/>
  <c r="AP272" i="3"/>
  <c r="AO272" i="3"/>
  <c r="AN272" i="3"/>
  <c r="AM272" i="3"/>
  <c r="AL272" i="3"/>
  <c r="AK272" i="3"/>
  <c r="AJ272" i="3"/>
  <c r="AI272" i="3"/>
  <c r="AH272" i="3"/>
  <c r="AG272" i="3"/>
  <c r="AF272" i="3"/>
  <c r="BC271" i="3"/>
  <c r="BB271" i="3"/>
  <c r="BA271" i="3"/>
  <c r="AZ271" i="3"/>
  <c r="AY271" i="3"/>
  <c r="AX271" i="3"/>
  <c r="AW271" i="3"/>
  <c r="AV271" i="3"/>
  <c r="AU271" i="3"/>
  <c r="AT271" i="3"/>
  <c r="AS271" i="3"/>
  <c r="AR271" i="3"/>
  <c r="AQ271" i="3"/>
  <c r="AP271" i="3"/>
  <c r="AO271" i="3"/>
  <c r="AN271" i="3"/>
  <c r="AM271" i="3"/>
  <c r="AL271" i="3"/>
  <c r="AK271" i="3"/>
  <c r="AJ271" i="3"/>
  <c r="AI271" i="3"/>
  <c r="AH271" i="3"/>
  <c r="AG271" i="3"/>
  <c r="AF271" i="3"/>
  <c r="BC270" i="3"/>
  <c r="BB270" i="3"/>
  <c r="BA270" i="3"/>
  <c r="AZ270" i="3"/>
  <c r="AY270" i="3"/>
  <c r="AX270" i="3"/>
  <c r="AW270" i="3"/>
  <c r="AV270" i="3"/>
  <c r="AU270" i="3"/>
  <c r="AT270" i="3"/>
  <c r="AS270" i="3"/>
  <c r="AR270" i="3"/>
  <c r="AQ270" i="3"/>
  <c r="AP270" i="3"/>
  <c r="AO270" i="3"/>
  <c r="AN270" i="3"/>
  <c r="AM270" i="3"/>
  <c r="AL270" i="3"/>
  <c r="AK270" i="3"/>
  <c r="AJ270" i="3"/>
  <c r="AI270" i="3"/>
  <c r="AH270" i="3"/>
  <c r="AG270" i="3"/>
  <c r="AF270" i="3"/>
  <c r="BC269" i="3"/>
  <c r="BB269" i="3"/>
  <c r="BA269" i="3"/>
  <c r="AZ269" i="3"/>
  <c r="AY269" i="3"/>
  <c r="AX269" i="3"/>
  <c r="AW269" i="3"/>
  <c r="AV269" i="3"/>
  <c r="AU269" i="3"/>
  <c r="AT269" i="3"/>
  <c r="AS269" i="3"/>
  <c r="AR269" i="3"/>
  <c r="AQ269" i="3"/>
  <c r="AP269" i="3"/>
  <c r="AO269" i="3"/>
  <c r="AN269" i="3"/>
  <c r="AM269" i="3"/>
  <c r="AL269" i="3"/>
  <c r="AK269" i="3"/>
  <c r="AJ269" i="3"/>
  <c r="AI269" i="3"/>
  <c r="AH269" i="3"/>
  <c r="AG269" i="3"/>
  <c r="AF269" i="3"/>
  <c r="BC268" i="3"/>
  <c r="BB268" i="3"/>
  <c r="BA268" i="3"/>
  <c r="AZ268" i="3"/>
  <c r="AY268" i="3"/>
  <c r="AX268" i="3"/>
  <c r="AW268" i="3"/>
  <c r="AV268" i="3"/>
  <c r="AU268" i="3"/>
  <c r="AT268" i="3"/>
  <c r="AS268" i="3"/>
  <c r="AR268" i="3"/>
  <c r="AQ268" i="3"/>
  <c r="AP268" i="3"/>
  <c r="AO268" i="3"/>
  <c r="AN268" i="3"/>
  <c r="AM268" i="3"/>
  <c r="AL268" i="3"/>
  <c r="AK268" i="3"/>
  <c r="AJ268" i="3"/>
  <c r="AI268" i="3"/>
  <c r="AH268" i="3"/>
  <c r="AG268" i="3"/>
  <c r="AF268" i="3"/>
  <c r="BC267" i="3"/>
  <c r="BB267" i="3"/>
  <c r="BA267" i="3"/>
  <c r="AZ267" i="3"/>
  <c r="AY267" i="3"/>
  <c r="AX267" i="3"/>
  <c r="AW267" i="3"/>
  <c r="AV267" i="3"/>
  <c r="AU267" i="3"/>
  <c r="AT267" i="3"/>
  <c r="AS267" i="3"/>
  <c r="AR267" i="3"/>
  <c r="AQ267" i="3"/>
  <c r="AP267" i="3"/>
  <c r="AO267" i="3"/>
  <c r="AN267" i="3"/>
  <c r="AM267" i="3"/>
  <c r="AL267" i="3"/>
  <c r="AK267" i="3"/>
  <c r="AJ267" i="3"/>
  <c r="AI267" i="3"/>
  <c r="AH267" i="3"/>
  <c r="AG267" i="3"/>
  <c r="AF267" i="3"/>
  <c r="BC266" i="3"/>
  <c r="BB266" i="3"/>
  <c r="BA266" i="3"/>
  <c r="AZ266" i="3"/>
  <c r="AY266" i="3"/>
  <c r="AX266" i="3"/>
  <c r="AW266" i="3"/>
  <c r="AV266" i="3"/>
  <c r="AU266" i="3"/>
  <c r="AT266" i="3"/>
  <c r="AS266" i="3"/>
  <c r="AR266" i="3"/>
  <c r="AQ266" i="3"/>
  <c r="AP266" i="3"/>
  <c r="AO266" i="3"/>
  <c r="AN266" i="3"/>
  <c r="AM266" i="3"/>
  <c r="AL266" i="3"/>
  <c r="AK266" i="3"/>
  <c r="AJ266" i="3"/>
  <c r="AI266" i="3"/>
  <c r="AH266" i="3"/>
  <c r="AG266" i="3"/>
  <c r="AF266" i="3"/>
  <c r="BC265" i="3"/>
  <c r="BB265" i="3"/>
  <c r="BA265" i="3"/>
  <c r="AZ265" i="3"/>
  <c r="AY265" i="3"/>
  <c r="AX265" i="3"/>
  <c r="AW265" i="3"/>
  <c r="AV265" i="3"/>
  <c r="AU265" i="3"/>
  <c r="AT265" i="3"/>
  <c r="AS265" i="3"/>
  <c r="AR265" i="3"/>
  <c r="AQ265" i="3"/>
  <c r="AP265" i="3"/>
  <c r="AO265" i="3"/>
  <c r="AN265" i="3"/>
  <c r="AM265" i="3"/>
  <c r="AL265" i="3"/>
  <c r="AK265" i="3"/>
  <c r="AJ265" i="3"/>
  <c r="AI265" i="3"/>
  <c r="AH265" i="3"/>
  <c r="AG265" i="3"/>
  <c r="AF265" i="3"/>
  <c r="BC264" i="3"/>
  <c r="BB264" i="3"/>
  <c r="BA264" i="3"/>
  <c r="AZ264" i="3"/>
  <c r="AY264" i="3"/>
  <c r="AX264" i="3"/>
  <c r="AW264" i="3"/>
  <c r="AV264" i="3"/>
  <c r="AU264" i="3"/>
  <c r="AT264" i="3"/>
  <c r="AS264" i="3"/>
  <c r="AR264" i="3"/>
  <c r="AQ264" i="3"/>
  <c r="AP264" i="3"/>
  <c r="AO264" i="3"/>
  <c r="AN264" i="3"/>
  <c r="AM264" i="3"/>
  <c r="AL264" i="3"/>
  <c r="AK264" i="3"/>
  <c r="AJ264" i="3"/>
  <c r="AI264" i="3"/>
  <c r="AH264" i="3"/>
  <c r="AG264" i="3"/>
  <c r="AF264" i="3"/>
  <c r="BC263" i="3"/>
  <c r="BB263" i="3"/>
  <c r="BA263" i="3"/>
  <c r="AZ263" i="3"/>
  <c r="AY263" i="3"/>
  <c r="AX263" i="3"/>
  <c r="AW263" i="3"/>
  <c r="AV263" i="3"/>
  <c r="AU263" i="3"/>
  <c r="AT263" i="3"/>
  <c r="AS263" i="3"/>
  <c r="AR263" i="3"/>
  <c r="AQ263" i="3"/>
  <c r="AP263" i="3"/>
  <c r="AO263" i="3"/>
  <c r="AN263" i="3"/>
  <c r="AM263" i="3"/>
  <c r="AL263" i="3"/>
  <c r="AK263" i="3"/>
  <c r="AJ263" i="3"/>
  <c r="AI263" i="3"/>
  <c r="AH263" i="3"/>
  <c r="AG263" i="3"/>
  <c r="AF263" i="3"/>
  <c r="BC262" i="3"/>
  <c r="BB262" i="3"/>
  <c r="BA262" i="3"/>
  <c r="AZ262" i="3"/>
  <c r="AY262" i="3"/>
  <c r="AX262" i="3"/>
  <c r="AW262" i="3"/>
  <c r="AV262" i="3"/>
  <c r="AU262" i="3"/>
  <c r="AT262" i="3"/>
  <c r="AS262" i="3"/>
  <c r="AR262" i="3"/>
  <c r="AQ262" i="3"/>
  <c r="AP262" i="3"/>
  <c r="AO262" i="3"/>
  <c r="AN262" i="3"/>
  <c r="AM262" i="3"/>
  <c r="AL262" i="3"/>
  <c r="AK262" i="3"/>
  <c r="AJ262" i="3"/>
  <c r="AI262" i="3"/>
  <c r="AH262" i="3"/>
  <c r="AG262" i="3"/>
  <c r="AF262" i="3"/>
  <c r="BC261" i="3"/>
  <c r="BB261" i="3"/>
  <c r="BA261" i="3"/>
  <c r="AZ261" i="3"/>
  <c r="AY261" i="3"/>
  <c r="AX261" i="3"/>
  <c r="AW261" i="3"/>
  <c r="AV261" i="3"/>
  <c r="AU261" i="3"/>
  <c r="AT261" i="3"/>
  <c r="AS261" i="3"/>
  <c r="AR261" i="3"/>
  <c r="AQ261" i="3"/>
  <c r="AP261" i="3"/>
  <c r="AO261" i="3"/>
  <c r="AN261" i="3"/>
  <c r="AM261" i="3"/>
  <c r="AL261" i="3"/>
  <c r="AK261" i="3"/>
  <c r="AJ261" i="3"/>
  <c r="AI261" i="3"/>
  <c r="AH261" i="3"/>
  <c r="AG261" i="3"/>
  <c r="AF261" i="3"/>
  <c r="BC260" i="3"/>
  <c r="BB260" i="3"/>
  <c r="BA260" i="3"/>
  <c r="AZ260" i="3"/>
  <c r="AY260" i="3"/>
  <c r="AX260" i="3"/>
  <c r="AW260" i="3"/>
  <c r="AV260" i="3"/>
  <c r="AU260" i="3"/>
  <c r="AT260" i="3"/>
  <c r="AS260" i="3"/>
  <c r="AR260" i="3"/>
  <c r="AQ260" i="3"/>
  <c r="AP260" i="3"/>
  <c r="AO260" i="3"/>
  <c r="AN260" i="3"/>
  <c r="AM260" i="3"/>
  <c r="AL260" i="3"/>
  <c r="AK260" i="3"/>
  <c r="AJ260" i="3"/>
  <c r="AI260" i="3"/>
  <c r="AH260" i="3"/>
  <c r="AG260" i="3"/>
  <c r="AF260" i="3"/>
  <c r="BC259" i="3"/>
  <c r="BB259" i="3"/>
  <c r="BA259" i="3"/>
  <c r="AZ259" i="3"/>
  <c r="AY259" i="3"/>
  <c r="AX259" i="3"/>
  <c r="AW259" i="3"/>
  <c r="AV259" i="3"/>
  <c r="AU259" i="3"/>
  <c r="AT259" i="3"/>
  <c r="AS259" i="3"/>
  <c r="AR259" i="3"/>
  <c r="AQ259" i="3"/>
  <c r="AP259" i="3"/>
  <c r="AO259" i="3"/>
  <c r="AN259" i="3"/>
  <c r="AM259" i="3"/>
  <c r="AL259" i="3"/>
  <c r="AK259" i="3"/>
  <c r="AJ259" i="3"/>
  <c r="AI259" i="3"/>
  <c r="AH259" i="3"/>
  <c r="AG259" i="3"/>
  <c r="AF259" i="3"/>
  <c r="BC258" i="3"/>
  <c r="BB258" i="3"/>
  <c r="BA258" i="3"/>
  <c r="AZ258" i="3"/>
  <c r="AY258" i="3"/>
  <c r="AX258" i="3"/>
  <c r="AW258" i="3"/>
  <c r="AV258" i="3"/>
  <c r="AU258" i="3"/>
  <c r="AT258" i="3"/>
  <c r="AS258" i="3"/>
  <c r="AR258" i="3"/>
  <c r="AQ258" i="3"/>
  <c r="AP258" i="3"/>
  <c r="AO258" i="3"/>
  <c r="AN258" i="3"/>
  <c r="AM258" i="3"/>
  <c r="AL258" i="3"/>
  <c r="AK258" i="3"/>
  <c r="AJ258" i="3"/>
  <c r="AI258" i="3"/>
  <c r="AH258" i="3"/>
  <c r="AG258" i="3"/>
  <c r="AF258" i="3"/>
  <c r="BC257" i="3"/>
  <c r="BB257" i="3"/>
  <c r="BA257" i="3"/>
  <c r="AZ257" i="3"/>
  <c r="AY257" i="3"/>
  <c r="AX257" i="3"/>
  <c r="AW257" i="3"/>
  <c r="AV257" i="3"/>
  <c r="AU257" i="3"/>
  <c r="AT257" i="3"/>
  <c r="AS257" i="3"/>
  <c r="AR257" i="3"/>
  <c r="AQ257" i="3"/>
  <c r="AP257" i="3"/>
  <c r="AO257" i="3"/>
  <c r="AN257" i="3"/>
  <c r="AM257" i="3"/>
  <c r="AL257" i="3"/>
  <c r="AK257" i="3"/>
  <c r="AJ257" i="3"/>
  <c r="AI257" i="3"/>
  <c r="AH257" i="3"/>
  <c r="AG257" i="3"/>
  <c r="AF257" i="3"/>
  <c r="BC256" i="3"/>
  <c r="BB256" i="3"/>
  <c r="BA256" i="3"/>
  <c r="AZ256" i="3"/>
  <c r="AY256" i="3"/>
  <c r="AX256" i="3"/>
  <c r="AW256" i="3"/>
  <c r="AV256" i="3"/>
  <c r="AU256" i="3"/>
  <c r="AT256" i="3"/>
  <c r="AS256" i="3"/>
  <c r="AR256" i="3"/>
  <c r="AQ256" i="3"/>
  <c r="AP256" i="3"/>
  <c r="AO256" i="3"/>
  <c r="AN256" i="3"/>
  <c r="AM256" i="3"/>
  <c r="AL256" i="3"/>
  <c r="AK256" i="3"/>
  <c r="AJ256" i="3"/>
  <c r="AI256" i="3"/>
  <c r="AH256" i="3"/>
  <c r="AG256" i="3"/>
  <c r="AF256" i="3"/>
  <c r="BC255" i="3"/>
  <c r="BB255" i="3"/>
  <c r="BA255" i="3"/>
  <c r="AZ255" i="3"/>
  <c r="AY255" i="3"/>
  <c r="AX255" i="3"/>
  <c r="AW255" i="3"/>
  <c r="AV255" i="3"/>
  <c r="AU255" i="3"/>
  <c r="AT255" i="3"/>
  <c r="AS255" i="3"/>
  <c r="AR255" i="3"/>
  <c r="AQ255" i="3"/>
  <c r="AP255" i="3"/>
  <c r="AO255" i="3"/>
  <c r="AN255" i="3"/>
  <c r="AM255" i="3"/>
  <c r="AL255" i="3"/>
  <c r="AK255" i="3"/>
  <c r="AJ255" i="3"/>
  <c r="AI255" i="3"/>
  <c r="AH255" i="3"/>
  <c r="AG255" i="3"/>
  <c r="AF255" i="3"/>
  <c r="BC254" i="3"/>
  <c r="BB254" i="3"/>
  <c r="BA254" i="3"/>
  <c r="AZ254" i="3"/>
  <c r="AY254" i="3"/>
  <c r="AX254" i="3"/>
  <c r="AW254" i="3"/>
  <c r="AV254" i="3"/>
  <c r="AU254" i="3"/>
  <c r="AT254" i="3"/>
  <c r="AS254" i="3"/>
  <c r="AR254" i="3"/>
  <c r="AQ254" i="3"/>
  <c r="AP254" i="3"/>
  <c r="AO254" i="3"/>
  <c r="AN254" i="3"/>
  <c r="AM254" i="3"/>
  <c r="AL254" i="3"/>
  <c r="AK254" i="3"/>
  <c r="AJ254" i="3"/>
  <c r="AI254" i="3"/>
  <c r="AH254" i="3"/>
  <c r="AG254" i="3"/>
  <c r="AF254" i="3"/>
  <c r="BC253" i="3"/>
  <c r="BB253" i="3"/>
  <c r="BA253" i="3"/>
  <c r="AZ253" i="3"/>
  <c r="AY253" i="3"/>
  <c r="AX253" i="3"/>
  <c r="AW253" i="3"/>
  <c r="AV253" i="3"/>
  <c r="AU253" i="3"/>
  <c r="AT253" i="3"/>
  <c r="AS253" i="3"/>
  <c r="AR253" i="3"/>
  <c r="AQ253" i="3"/>
  <c r="AP253" i="3"/>
  <c r="AO253" i="3"/>
  <c r="AN253" i="3"/>
  <c r="AM253" i="3"/>
  <c r="AL253" i="3"/>
  <c r="AK253" i="3"/>
  <c r="AJ253" i="3"/>
  <c r="AI253" i="3"/>
  <c r="AH253" i="3"/>
  <c r="AG253" i="3"/>
  <c r="AF253" i="3"/>
  <c r="BC252" i="3"/>
  <c r="BB252" i="3"/>
  <c r="BA252" i="3"/>
  <c r="AZ252" i="3"/>
  <c r="AY252" i="3"/>
  <c r="AX252" i="3"/>
  <c r="AW252" i="3"/>
  <c r="AV252" i="3"/>
  <c r="AU252" i="3"/>
  <c r="AT252" i="3"/>
  <c r="AS252" i="3"/>
  <c r="AR252" i="3"/>
  <c r="AQ252" i="3"/>
  <c r="AP252" i="3"/>
  <c r="AO252" i="3"/>
  <c r="AN252" i="3"/>
  <c r="AM252" i="3"/>
  <c r="AL252" i="3"/>
  <c r="AK252" i="3"/>
  <c r="AJ252" i="3"/>
  <c r="AI252" i="3"/>
  <c r="AH252" i="3"/>
  <c r="AG252" i="3"/>
  <c r="AF252" i="3"/>
  <c r="BC251" i="3"/>
  <c r="BB251" i="3"/>
  <c r="BA251" i="3"/>
  <c r="AZ251" i="3"/>
  <c r="AY251" i="3"/>
  <c r="AX251" i="3"/>
  <c r="AW251" i="3"/>
  <c r="AV251" i="3"/>
  <c r="AU251" i="3"/>
  <c r="AT251" i="3"/>
  <c r="AS251" i="3"/>
  <c r="AR251" i="3"/>
  <c r="AQ251" i="3"/>
  <c r="AP251" i="3"/>
  <c r="AO251" i="3"/>
  <c r="AN251" i="3"/>
  <c r="AM251" i="3"/>
  <c r="AL251" i="3"/>
  <c r="AK251" i="3"/>
  <c r="AJ251" i="3"/>
  <c r="AI251" i="3"/>
  <c r="AH251" i="3"/>
  <c r="AG251" i="3"/>
  <c r="AF251" i="3"/>
  <c r="BC250" i="3"/>
  <c r="BB250" i="3"/>
  <c r="BA250" i="3"/>
  <c r="AZ250" i="3"/>
  <c r="AY250" i="3"/>
  <c r="AX250" i="3"/>
  <c r="AW250" i="3"/>
  <c r="AV250" i="3"/>
  <c r="AU250" i="3"/>
  <c r="AT250" i="3"/>
  <c r="AS250" i="3"/>
  <c r="AR250" i="3"/>
  <c r="AQ250" i="3"/>
  <c r="AP250" i="3"/>
  <c r="AO250" i="3"/>
  <c r="AN250" i="3"/>
  <c r="AM250" i="3"/>
  <c r="AL250" i="3"/>
  <c r="AK250" i="3"/>
  <c r="AJ250" i="3"/>
  <c r="AI250" i="3"/>
  <c r="AH250" i="3"/>
  <c r="AG250" i="3"/>
  <c r="AF250" i="3"/>
  <c r="BC249" i="3"/>
  <c r="BB249" i="3"/>
  <c r="BA249" i="3"/>
  <c r="AZ249" i="3"/>
  <c r="AY249" i="3"/>
  <c r="AX249" i="3"/>
  <c r="AW249" i="3"/>
  <c r="AV249" i="3"/>
  <c r="AU249" i="3"/>
  <c r="AT249" i="3"/>
  <c r="AS249" i="3"/>
  <c r="AR249" i="3"/>
  <c r="AQ249" i="3"/>
  <c r="AP249" i="3"/>
  <c r="AO249" i="3"/>
  <c r="AN249" i="3"/>
  <c r="AM249" i="3"/>
  <c r="AL249" i="3"/>
  <c r="AK249" i="3"/>
  <c r="AJ249" i="3"/>
  <c r="AI249" i="3"/>
  <c r="AH249" i="3"/>
  <c r="AG249" i="3"/>
  <c r="AF249" i="3"/>
  <c r="BC248" i="3"/>
  <c r="BB248" i="3"/>
  <c r="BA248" i="3"/>
  <c r="AZ248" i="3"/>
  <c r="AY248" i="3"/>
  <c r="AX248" i="3"/>
  <c r="AW248" i="3"/>
  <c r="AV248" i="3"/>
  <c r="AU248" i="3"/>
  <c r="AT248" i="3"/>
  <c r="AS248" i="3"/>
  <c r="AR248" i="3"/>
  <c r="AQ248" i="3"/>
  <c r="AP248" i="3"/>
  <c r="AO248" i="3"/>
  <c r="AN248" i="3"/>
  <c r="AM248" i="3"/>
  <c r="AL248" i="3"/>
  <c r="AK248" i="3"/>
  <c r="AJ248" i="3"/>
  <c r="AI248" i="3"/>
  <c r="AH248" i="3"/>
  <c r="AG248" i="3"/>
  <c r="AF248" i="3"/>
  <c r="BC247" i="3"/>
  <c r="BB247" i="3"/>
  <c r="BA247" i="3"/>
  <c r="AZ247" i="3"/>
  <c r="AY247" i="3"/>
  <c r="AX247" i="3"/>
  <c r="AW247" i="3"/>
  <c r="AV247" i="3"/>
  <c r="AU247" i="3"/>
  <c r="AT247" i="3"/>
  <c r="AS247" i="3"/>
  <c r="AR247" i="3"/>
  <c r="AQ247" i="3"/>
  <c r="AP247" i="3"/>
  <c r="AO247" i="3"/>
  <c r="AN247" i="3"/>
  <c r="AM247" i="3"/>
  <c r="AL247" i="3"/>
  <c r="AK247" i="3"/>
  <c r="AJ247" i="3"/>
  <c r="AI247" i="3"/>
  <c r="AH247" i="3"/>
  <c r="AG247" i="3"/>
  <c r="AF247" i="3"/>
  <c r="BC246" i="3"/>
  <c r="BB246" i="3"/>
  <c r="BA246" i="3"/>
  <c r="AZ246" i="3"/>
  <c r="AY246" i="3"/>
  <c r="AX246" i="3"/>
  <c r="AW246" i="3"/>
  <c r="AV246" i="3"/>
  <c r="AU246" i="3"/>
  <c r="AT246" i="3"/>
  <c r="AS246" i="3"/>
  <c r="AR246" i="3"/>
  <c r="AQ246" i="3"/>
  <c r="AP246" i="3"/>
  <c r="AO246" i="3"/>
  <c r="AN246" i="3"/>
  <c r="AM246" i="3"/>
  <c r="AL246" i="3"/>
  <c r="AK246" i="3"/>
  <c r="AJ246" i="3"/>
  <c r="AI246" i="3"/>
  <c r="AH246" i="3"/>
  <c r="AG246" i="3"/>
  <c r="AF246" i="3"/>
  <c r="BC245" i="3"/>
  <c r="BB245" i="3"/>
  <c r="BA245" i="3"/>
  <c r="AZ245" i="3"/>
  <c r="AY245" i="3"/>
  <c r="AX245" i="3"/>
  <c r="AW245" i="3"/>
  <c r="AV245" i="3"/>
  <c r="AU245" i="3"/>
  <c r="AT245" i="3"/>
  <c r="AS245" i="3"/>
  <c r="AR245" i="3"/>
  <c r="AQ245" i="3"/>
  <c r="AP245" i="3"/>
  <c r="AO245" i="3"/>
  <c r="AN245" i="3"/>
  <c r="AM245" i="3"/>
  <c r="AL245" i="3"/>
  <c r="AK245" i="3"/>
  <c r="AJ245" i="3"/>
  <c r="AI245" i="3"/>
  <c r="AH245" i="3"/>
  <c r="AG245" i="3"/>
  <c r="AF245" i="3"/>
  <c r="BC244" i="3"/>
  <c r="BB244" i="3"/>
  <c r="BA244" i="3"/>
  <c r="AZ244" i="3"/>
  <c r="AY244" i="3"/>
  <c r="AX244" i="3"/>
  <c r="AW244" i="3"/>
  <c r="AV244" i="3"/>
  <c r="AU244" i="3"/>
  <c r="AT244" i="3"/>
  <c r="AS244" i="3"/>
  <c r="AR244" i="3"/>
  <c r="AQ244" i="3"/>
  <c r="AP244" i="3"/>
  <c r="AO244" i="3"/>
  <c r="AN244" i="3"/>
  <c r="AM244" i="3"/>
  <c r="AL244" i="3"/>
  <c r="AK244" i="3"/>
  <c r="AJ244" i="3"/>
  <c r="AI244" i="3"/>
  <c r="AH244" i="3"/>
  <c r="AG244" i="3"/>
  <c r="AF244" i="3"/>
  <c r="BC243" i="3"/>
  <c r="BB243" i="3"/>
  <c r="BA243" i="3"/>
  <c r="AZ243" i="3"/>
  <c r="AY243" i="3"/>
  <c r="AX243" i="3"/>
  <c r="AW243" i="3"/>
  <c r="AV243" i="3"/>
  <c r="AU243" i="3"/>
  <c r="AT243" i="3"/>
  <c r="AS243" i="3"/>
  <c r="AR243" i="3"/>
  <c r="AQ243" i="3"/>
  <c r="AP243" i="3"/>
  <c r="AO243" i="3"/>
  <c r="AN243" i="3"/>
  <c r="AM243" i="3"/>
  <c r="AL243" i="3"/>
  <c r="AK243" i="3"/>
  <c r="AJ243" i="3"/>
  <c r="AI243" i="3"/>
  <c r="AH243" i="3"/>
  <c r="AG243" i="3"/>
  <c r="AF243" i="3"/>
  <c r="BC242" i="3"/>
  <c r="BB242" i="3"/>
  <c r="BA242" i="3"/>
  <c r="AZ242" i="3"/>
  <c r="AY242" i="3"/>
  <c r="AX242" i="3"/>
  <c r="AW242" i="3"/>
  <c r="AV242" i="3"/>
  <c r="AU242" i="3"/>
  <c r="AT242" i="3"/>
  <c r="AS242" i="3"/>
  <c r="AR242" i="3"/>
  <c r="AQ242" i="3"/>
  <c r="AP242" i="3"/>
  <c r="AO242" i="3"/>
  <c r="AN242" i="3"/>
  <c r="AM242" i="3"/>
  <c r="AL242" i="3"/>
  <c r="AK242" i="3"/>
  <c r="AJ242" i="3"/>
  <c r="AI242" i="3"/>
  <c r="AH242" i="3"/>
  <c r="AG242" i="3"/>
  <c r="AF242" i="3"/>
  <c r="BC241" i="3"/>
  <c r="BB241" i="3"/>
  <c r="BA241" i="3"/>
  <c r="AZ241" i="3"/>
  <c r="AY241" i="3"/>
  <c r="AX241" i="3"/>
  <c r="AW241" i="3"/>
  <c r="AV241" i="3"/>
  <c r="AU241" i="3"/>
  <c r="AT241" i="3"/>
  <c r="AS241" i="3"/>
  <c r="AR241" i="3"/>
  <c r="AQ241" i="3"/>
  <c r="AP241" i="3"/>
  <c r="AO241" i="3"/>
  <c r="AN241" i="3"/>
  <c r="AM241" i="3"/>
  <c r="AL241" i="3"/>
  <c r="AK241" i="3"/>
  <c r="AJ241" i="3"/>
  <c r="AI241" i="3"/>
  <c r="AH241" i="3"/>
  <c r="AG241" i="3"/>
  <c r="AF241" i="3"/>
  <c r="BC240" i="3"/>
  <c r="BB240" i="3"/>
  <c r="BA240" i="3"/>
  <c r="AZ240" i="3"/>
  <c r="AY240" i="3"/>
  <c r="AX240" i="3"/>
  <c r="AW240" i="3"/>
  <c r="AV240" i="3"/>
  <c r="AU240" i="3"/>
  <c r="AT240" i="3"/>
  <c r="AS240" i="3"/>
  <c r="AR240" i="3"/>
  <c r="AQ240" i="3"/>
  <c r="AP240" i="3"/>
  <c r="AO240" i="3"/>
  <c r="AN240" i="3"/>
  <c r="AM240" i="3"/>
  <c r="AL240" i="3"/>
  <c r="AK240" i="3"/>
  <c r="AJ240" i="3"/>
  <c r="AI240" i="3"/>
  <c r="AH240" i="3"/>
  <c r="AG240" i="3"/>
  <c r="AF240" i="3"/>
  <c r="BC239" i="3"/>
  <c r="BB239" i="3"/>
  <c r="BA239" i="3"/>
  <c r="AZ239" i="3"/>
  <c r="AY239" i="3"/>
  <c r="AX239" i="3"/>
  <c r="AW239" i="3"/>
  <c r="AV239" i="3"/>
  <c r="AU239" i="3"/>
  <c r="AT239" i="3"/>
  <c r="AS239" i="3"/>
  <c r="AR239" i="3"/>
  <c r="AQ239" i="3"/>
  <c r="AP239" i="3"/>
  <c r="AO239" i="3"/>
  <c r="AN239" i="3"/>
  <c r="AM239" i="3"/>
  <c r="AL239" i="3"/>
  <c r="AK239" i="3"/>
  <c r="AJ239" i="3"/>
  <c r="AI239" i="3"/>
  <c r="AH239" i="3"/>
  <c r="AG239" i="3"/>
  <c r="AF239" i="3"/>
  <c r="BC238" i="3"/>
  <c r="BB238" i="3"/>
  <c r="BA238" i="3"/>
  <c r="AZ238" i="3"/>
  <c r="AY238" i="3"/>
  <c r="AX238" i="3"/>
  <c r="AW238" i="3"/>
  <c r="AV238" i="3"/>
  <c r="AU238" i="3"/>
  <c r="AT238" i="3"/>
  <c r="AS238" i="3"/>
  <c r="AR238" i="3"/>
  <c r="AQ238" i="3"/>
  <c r="AP238" i="3"/>
  <c r="AO238" i="3"/>
  <c r="AN238" i="3"/>
  <c r="AM238" i="3"/>
  <c r="AL238" i="3"/>
  <c r="AK238" i="3"/>
  <c r="AJ238" i="3"/>
  <c r="AI238" i="3"/>
  <c r="AH238" i="3"/>
  <c r="AG238" i="3"/>
  <c r="AF238" i="3"/>
  <c r="BC237" i="3"/>
  <c r="BB237" i="3"/>
  <c r="BA237" i="3"/>
  <c r="AZ237" i="3"/>
  <c r="AY237" i="3"/>
  <c r="AX237" i="3"/>
  <c r="AW237" i="3"/>
  <c r="AV237" i="3"/>
  <c r="AU237" i="3"/>
  <c r="AT237" i="3"/>
  <c r="AS237" i="3"/>
  <c r="AR237" i="3"/>
  <c r="AQ237" i="3"/>
  <c r="AP237" i="3"/>
  <c r="AO237" i="3"/>
  <c r="AN237" i="3"/>
  <c r="AM237" i="3"/>
  <c r="AL237" i="3"/>
  <c r="AK237" i="3"/>
  <c r="AJ237" i="3"/>
  <c r="AI237" i="3"/>
  <c r="AH237" i="3"/>
  <c r="AG237" i="3"/>
  <c r="AF237" i="3"/>
  <c r="BC236" i="3"/>
  <c r="BB236" i="3"/>
  <c r="BA236" i="3"/>
  <c r="AZ236" i="3"/>
  <c r="AY236" i="3"/>
  <c r="AX236" i="3"/>
  <c r="AW236" i="3"/>
  <c r="AV236" i="3"/>
  <c r="AU236" i="3"/>
  <c r="AT236" i="3"/>
  <c r="AS236" i="3"/>
  <c r="AR236" i="3"/>
  <c r="AQ236" i="3"/>
  <c r="AP236" i="3"/>
  <c r="AO236" i="3"/>
  <c r="AN236" i="3"/>
  <c r="AM236" i="3"/>
  <c r="AL236" i="3"/>
  <c r="AK236" i="3"/>
  <c r="AJ236" i="3"/>
  <c r="AI236" i="3"/>
  <c r="AH236" i="3"/>
  <c r="AG236" i="3"/>
  <c r="AF236" i="3"/>
  <c r="BC235" i="3"/>
  <c r="BB235" i="3"/>
  <c r="BA235" i="3"/>
  <c r="AZ235" i="3"/>
  <c r="AY235" i="3"/>
  <c r="AX235" i="3"/>
  <c r="AW235" i="3"/>
  <c r="AV235" i="3"/>
  <c r="AU235" i="3"/>
  <c r="AT235" i="3"/>
  <c r="AS235" i="3"/>
  <c r="AR235" i="3"/>
  <c r="AQ235" i="3"/>
  <c r="AP235" i="3"/>
  <c r="AO235" i="3"/>
  <c r="AN235" i="3"/>
  <c r="AM235" i="3"/>
  <c r="AL235" i="3"/>
  <c r="AK235" i="3"/>
  <c r="AJ235" i="3"/>
  <c r="AI235" i="3"/>
  <c r="AH235" i="3"/>
  <c r="AG235" i="3"/>
  <c r="AF235" i="3"/>
  <c r="BC234" i="3"/>
  <c r="BB234" i="3"/>
  <c r="BA234" i="3"/>
  <c r="AZ234" i="3"/>
  <c r="AY234" i="3"/>
  <c r="AX234" i="3"/>
  <c r="AW234" i="3"/>
  <c r="AV234" i="3"/>
  <c r="AU234" i="3"/>
  <c r="AT234" i="3"/>
  <c r="AS234" i="3"/>
  <c r="AR234" i="3"/>
  <c r="AQ234" i="3"/>
  <c r="AP234" i="3"/>
  <c r="AO234" i="3"/>
  <c r="AN234" i="3"/>
  <c r="AM234" i="3"/>
  <c r="AL234" i="3"/>
  <c r="AK234" i="3"/>
  <c r="AJ234" i="3"/>
  <c r="AI234" i="3"/>
  <c r="AH234" i="3"/>
  <c r="AG234" i="3"/>
  <c r="AF234" i="3"/>
  <c r="BC233" i="3"/>
  <c r="BB233" i="3"/>
  <c r="BA233" i="3"/>
  <c r="AZ233" i="3"/>
  <c r="AY233" i="3"/>
  <c r="AX233" i="3"/>
  <c r="AW233" i="3"/>
  <c r="AV233" i="3"/>
  <c r="AU233" i="3"/>
  <c r="AT233" i="3"/>
  <c r="AS233" i="3"/>
  <c r="AR233" i="3"/>
  <c r="AQ233" i="3"/>
  <c r="AP233" i="3"/>
  <c r="AO233" i="3"/>
  <c r="AN233" i="3"/>
  <c r="AM233" i="3"/>
  <c r="AL233" i="3"/>
  <c r="AK233" i="3"/>
  <c r="AJ233" i="3"/>
  <c r="AI233" i="3"/>
  <c r="AH233" i="3"/>
  <c r="AG233" i="3"/>
  <c r="AF233" i="3"/>
  <c r="BC232" i="3"/>
  <c r="BB232" i="3"/>
  <c r="BA232" i="3"/>
  <c r="AZ232" i="3"/>
  <c r="AY232" i="3"/>
  <c r="AX232" i="3"/>
  <c r="AW232" i="3"/>
  <c r="AV232" i="3"/>
  <c r="AU232" i="3"/>
  <c r="AT232" i="3"/>
  <c r="AS232" i="3"/>
  <c r="AR232" i="3"/>
  <c r="AQ232" i="3"/>
  <c r="AP232" i="3"/>
  <c r="AO232" i="3"/>
  <c r="AN232" i="3"/>
  <c r="AM232" i="3"/>
  <c r="AL232" i="3"/>
  <c r="AK232" i="3"/>
  <c r="AJ232" i="3"/>
  <c r="AI232" i="3"/>
  <c r="AH232" i="3"/>
  <c r="AG232" i="3"/>
  <c r="AF232" i="3"/>
  <c r="BC231" i="3"/>
  <c r="BB231" i="3"/>
  <c r="BA231" i="3"/>
  <c r="AZ231" i="3"/>
  <c r="AY231" i="3"/>
  <c r="AX231" i="3"/>
  <c r="AW231" i="3"/>
  <c r="AV231" i="3"/>
  <c r="AU231" i="3"/>
  <c r="AT231" i="3"/>
  <c r="AS231" i="3"/>
  <c r="AR231" i="3"/>
  <c r="AQ231" i="3"/>
  <c r="AP231" i="3"/>
  <c r="AO231" i="3"/>
  <c r="AN231" i="3"/>
  <c r="AM231" i="3"/>
  <c r="AL231" i="3"/>
  <c r="AK231" i="3"/>
  <c r="AJ231" i="3"/>
  <c r="AI231" i="3"/>
  <c r="AH231" i="3"/>
  <c r="AG231" i="3"/>
  <c r="AF231" i="3"/>
  <c r="BC230" i="3"/>
  <c r="BB230" i="3"/>
  <c r="BA230" i="3"/>
  <c r="AZ230" i="3"/>
  <c r="AY230" i="3"/>
  <c r="AX230" i="3"/>
  <c r="AW230" i="3"/>
  <c r="AV230" i="3"/>
  <c r="AU230" i="3"/>
  <c r="AT230" i="3"/>
  <c r="AS230" i="3"/>
  <c r="AR230" i="3"/>
  <c r="AQ230" i="3"/>
  <c r="AP230" i="3"/>
  <c r="AO230" i="3"/>
  <c r="AN230" i="3"/>
  <c r="AM230" i="3"/>
  <c r="AL230" i="3"/>
  <c r="AK230" i="3"/>
  <c r="AJ230" i="3"/>
  <c r="AI230" i="3"/>
  <c r="AH230" i="3"/>
  <c r="AG230" i="3"/>
  <c r="AF230" i="3"/>
  <c r="BC229" i="3"/>
  <c r="BB229" i="3"/>
  <c r="BA229" i="3"/>
  <c r="AZ229" i="3"/>
  <c r="AY229" i="3"/>
  <c r="AX229" i="3"/>
  <c r="AW229" i="3"/>
  <c r="AV229" i="3"/>
  <c r="AU229" i="3"/>
  <c r="AT229" i="3"/>
  <c r="AS229" i="3"/>
  <c r="AR229" i="3"/>
  <c r="AQ229" i="3"/>
  <c r="AP229" i="3"/>
  <c r="AO229" i="3"/>
  <c r="AN229" i="3"/>
  <c r="AM229" i="3"/>
  <c r="AL229" i="3"/>
  <c r="AK229" i="3"/>
  <c r="AJ229" i="3"/>
  <c r="AI229" i="3"/>
  <c r="AH229" i="3"/>
  <c r="AG229" i="3"/>
  <c r="AF229" i="3"/>
  <c r="BC228" i="3"/>
  <c r="BB228" i="3"/>
  <c r="BA228" i="3"/>
  <c r="AZ228" i="3"/>
  <c r="AY228" i="3"/>
  <c r="AX228" i="3"/>
  <c r="AW228" i="3"/>
  <c r="AV228" i="3"/>
  <c r="AU228" i="3"/>
  <c r="AT228" i="3"/>
  <c r="AS228" i="3"/>
  <c r="AR228" i="3"/>
  <c r="AQ228" i="3"/>
  <c r="AP228" i="3"/>
  <c r="AO228" i="3"/>
  <c r="AN228" i="3"/>
  <c r="AM228" i="3"/>
  <c r="AL228" i="3"/>
  <c r="AK228" i="3"/>
  <c r="AJ228" i="3"/>
  <c r="AI228" i="3"/>
  <c r="AH228" i="3"/>
  <c r="AG228" i="3"/>
  <c r="AF228" i="3"/>
  <c r="BC227" i="3"/>
  <c r="BB227" i="3"/>
  <c r="BA227" i="3"/>
  <c r="AZ227" i="3"/>
  <c r="AY227" i="3"/>
  <c r="AX227" i="3"/>
  <c r="AW227" i="3"/>
  <c r="AV227" i="3"/>
  <c r="AU227" i="3"/>
  <c r="AT227" i="3"/>
  <c r="AS227" i="3"/>
  <c r="AR227" i="3"/>
  <c r="AQ227" i="3"/>
  <c r="AP227" i="3"/>
  <c r="AO227" i="3"/>
  <c r="AN227" i="3"/>
  <c r="AM227" i="3"/>
  <c r="AL227" i="3"/>
  <c r="AK227" i="3"/>
  <c r="AJ227" i="3"/>
  <c r="AI227" i="3"/>
  <c r="AH227" i="3"/>
  <c r="AG227" i="3"/>
  <c r="AF227" i="3"/>
  <c r="BC226" i="3"/>
  <c r="BB226" i="3"/>
  <c r="BA226" i="3"/>
  <c r="AZ226" i="3"/>
  <c r="AY226" i="3"/>
  <c r="AX226" i="3"/>
  <c r="AW226" i="3"/>
  <c r="AV226" i="3"/>
  <c r="AU226" i="3"/>
  <c r="AT226" i="3"/>
  <c r="AS226" i="3"/>
  <c r="AR226" i="3"/>
  <c r="AQ226" i="3"/>
  <c r="AP226" i="3"/>
  <c r="AO226" i="3"/>
  <c r="AN226" i="3"/>
  <c r="AM226" i="3"/>
  <c r="AL226" i="3"/>
  <c r="AK226" i="3"/>
  <c r="AJ226" i="3"/>
  <c r="AI226" i="3"/>
  <c r="AH226" i="3"/>
  <c r="AG226" i="3"/>
  <c r="AF226" i="3"/>
  <c r="BC225" i="3"/>
  <c r="BB225" i="3"/>
  <c r="BA225" i="3"/>
  <c r="AZ225" i="3"/>
  <c r="AY225" i="3"/>
  <c r="AX225" i="3"/>
  <c r="AW225" i="3"/>
  <c r="AV225" i="3"/>
  <c r="AU225" i="3"/>
  <c r="AT225" i="3"/>
  <c r="AS225" i="3"/>
  <c r="AR225" i="3"/>
  <c r="AQ225" i="3"/>
  <c r="AP225" i="3"/>
  <c r="AO225" i="3"/>
  <c r="AN225" i="3"/>
  <c r="AM225" i="3"/>
  <c r="AL225" i="3"/>
  <c r="AK225" i="3"/>
  <c r="AJ225" i="3"/>
  <c r="AI225" i="3"/>
  <c r="AH225" i="3"/>
  <c r="AG225" i="3"/>
  <c r="AF225" i="3"/>
  <c r="BC224" i="3"/>
  <c r="BB224" i="3"/>
  <c r="BA224" i="3"/>
  <c r="AZ224" i="3"/>
  <c r="AY224" i="3"/>
  <c r="AX224" i="3"/>
  <c r="AW224" i="3"/>
  <c r="AV224" i="3"/>
  <c r="AU224" i="3"/>
  <c r="AT224" i="3"/>
  <c r="AS224" i="3"/>
  <c r="AR224" i="3"/>
  <c r="AQ224" i="3"/>
  <c r="AP224" i="3"/>
  <c r="AO224" i="3"/>
  <c r="AN224" i="3"/>
  <c r="AM224" i="3"/>
  <c r="AL224" i="3"/>
  <c r="AK224" i="3"/>
  <c r="AJ224" i="3"/>
  <c r="AI224" i="3"/>
  <c r="AH224" i="3"/>
  <c r="AG224" i="3"/>
  <c r="AF224" i="3"/>
  <c r="BC223" i="3"/>
  <c r="BB223" i="3"/>
  <c r="BA223" i="3"/>
  <c r="AZ223" i="3"/>
  <c r="AY223" i="3"/>
  <c r="AX223" i="3"/>
  <c r="AW223" i="3"/>
  <c r="AV223" i="3"/>
  <c r="AU223" i="3"/>
  <c r="AT223" i="3"/>
  <c r="AS223" i="3"/>
  <c r="AR223" i="3"/>
  <c r="AQ223" i="3"/>
  <c r="AP223" i="3"/>
  <c r="AO223" i="3"/>
  <c r="AN223" i="3"/>
  <c r="AM223" i="3"/>
  <c r="AL223" i="3"/>
  <c r="AK223" i="3"/>
  <c r="AJ223" i="3"/>
  <c r="AI223" i="3"/>
  <c r="AH223" i="3"/>
  <c r="AG223" i="3"/>
  <c r="AF223" i="3"/>
  <c r="BC222" i="3"/>
  <c r="BB222" i="3"/>
  <c r="BA222" i="3"/>
  <c r="AZ222" i="3"/>
  <c r="AY222" i="3"/>
  <c r="AX222" i="3"/>
  <c r="AW222" i="3"/>
  <c r="AV222" i="3"/>
  <c r="AU222" i="3"/>
  <c r="AT222" i="3"/>
  <c r="AS222" i="3"/>
  <c r="AR222" i="3"/>
  <c r="AQ222" i="3"/>
  <c r="AP222" i="3"/>
  <c r="AO222" i="3"/>
  <c r="AN222" i="3"/>
  <c r="AM222" i="3"/>
  <c r="AL222" i="3"/>
  <c r="AK222" i="3"/>
  <c r="AJ222" i="3"/>
  <c r="AI222" i="3"/>
  <c r="AH222" i="3"/>
  <c r="AG222" i="3"/>
  <c r="AF222" i="3"/>
  <c r="BC221" i="3"/>
  <c r="BB221" i="3"/>
  <c r="BA221" i="3"/>
  <c r="AZ221" i="3"/>
  <c r="AY221" i="3"/>
  <c r="AX221" i="3"/>
  <c r="AW221" i="3"/>
  <c r="AV221" i="3"/>
  <c r="AU221" i="3"/>
  <c r="AT221" i="3"/>
  <c r="AS221" i="3"/>
  <c r="AR221" i="3"/>
  <c r="AQ221" i="3"/>
  <c r="AP221" i="3"/>
  <c r="AO221" i="3"/>
  <c r="AN221" i="3"/>
  <c r="AM221" i="3"/>
  <c r="AL221" i="3"/>
  <c r="AK221" i="3"/>
  <c r="AJ221" i="3"/>
  <c r="AI221" i="3"/>
  <c r="AH221" i="3"/>
  <c r="AG221" i="3"/>
  <c r="AF221" i="3"/>
  <c r="BC220" i="3"/>
  <c r="BB220" i="3"/>
  <c r="BA220" i="3"/>
  <c r="AZ220" i="3"/>
  <c r="AY220" i="3"/>
  <c r="AX220" i="3"/>
  <c r="AW220" i="3"/>
  <c r="AV220" i="3"/>
  <c r="AU220" i="3"/>
  <c r="AT220" i="3"/>
  <c r="AS220" i="3"/>
  <c r="AR220" i="3"/>
  <c r="AQ220" i="3"/>
  <c r="AP220" i="3"/>
  <c r="AO220" i="3"/>
  <c r="AN220" i="3"/>
  <c r="AM220" i="3"/>
  <c r="AL220" i="3"/>
  <c r="AK220" i="3"/>
  <c r="AJ220" i="3"/>
  <c r="AI220" i="3"/>
  <c r="AH220" i="3"/>
  <c r="AG220" i="3"/>
  <c r="AF220" i="3"/>
  <c r="BC219" i="3"/>
  <c r="BB219" i="3"/>
  <c r="BA219" i="3"/>
  <c r="AZ219" i="3"/>
  <c r="AY219" i="3"/>
  <c r="AX219" i="3"/>
  <c r="AW219" i="3"/>
  <c r="AV219" i="3"/>
  <c r="AU219" i="3"/>
  <c r="AT219" i="3"/>
  <c r="AS219" i="3"/>
  <c r="AR219" i="3"/>
  <c r="AQ219" i="3"/>
  <c r="AP219" i="3"/>
  <c r="AO219" i="3"/>
  <c r="AN219" i="3"/>
  <c r="AM219" i="3"/>
  <c r="AL219" i="3"/>
  <c r="AK219" i="3"/>
  <c r="AJ219" i="3"/>
  <c r="AI219" i="3"/>
  <c r="AH219" i="3"/>
  <c r="AG219" i="3"/>
  <c r="AF219" i="3"/>
  <c r="BC218" i="3"/>
  <c r="BB218" i="3"/>
  <c r="BA218" i="3"/>
  <c r="AZ218" i="3"/>
  <c r="AY218" i="3"/>
  <c r="AX218" i="3"/>
  <c r="AW218" i="3"/>
  <c r="AV218" i="3"/>
  <c r="AU218" i="3"/>
  <c r="AT218" i="3"/>
  <c r="AS218" i="3"/>
  <c r="AR218" i="3"/>
  <c r="AQ218" i="3"/>
  <c r="AP218" i="3"/>
  <c r="AO218" i="3"/>
  <c r="AN218" i="3"/>
  <c r="AM218" i="3"/>
  <c r="AL218" i="3"/>
  <c r="AK218" i="3"/>
  <c r="AJ218" i="3"/>
  <c r="AI218" i="3"/>
  <c r="AH218" i="3"/>
  <c r="AG218" i="3"/>
  <c r="AF218" i="3"/>
  <c r="BC217" i="3"/>
  <c r="BB217" i="3"/>
  <c r="BA217" i="3"/>
  <c r="AZ217" i="3"/>
  <c r="AY217" i="3"/>
  <c r="AX217" i="3"/>
  <c r="AW217" i="3"/>
  <c r="AV217" i="3"/>
  <c r="AU217" i="3"/>
  <c r="AT217" i="3"/>
  <c r="AS217" i="3"/>
  <c r="AR217" i="3"/>
  <c r="AQ217" i="3"/>
  <c r="AP217" i="3"/>
  <c r="AO217" i="3"/>
  <c r="AN217" i="3"/>
  <c r="AM217" i="3"/>
  <c r="AL217" i="3"/>
  <c r="AK217" i="3"/>
  <c r="AJ217" i="3"/>
  <c r="AI217" i="3"/>
  <c r="AH217" i="3"/>
  <c r="AG217" i="3"/>
  <c r="AF217" i="3"/>
  <c r="BC216" i="3"/>
  <c r="BB216" i="3"/>
  <c r="BA216" i="3"/>
  <c r="AZ216" i="3"/>
  <c r="AY216" i="3"/>
  <c r="AX216" i="3"/>
  <c r="AW216" i="3"/>
  <c r="AV216" i="3"/>
  <c r="AU216" i="3"/>
  <c r="AT216" i="3"/>
  <c r="AS216" i="3"/>
  <c r="AR216" i="3"/>
  <c r="AQ216" i="3"/>
  <c r="AP216" i="3"/>
  <c r="AO216" i="3"/>
  <c r="AN216" i="3"/>
  <c r="AM216" i="3"/>
  <c r="AL216" i="3"/>
  <c r="AK216" i="3"/>
  <c r="AJ216" i="3"/>
  <c r="AI216" i="3"/>
  <c r="AH216" i="3"/>
  <c r="AG216" i="3"/>
  <c r="AF216" i="3"/>
  <c r="BC215" i="3"/>
  <c r="BB215" i="3"/>
  <c r="BA215" i="3"/>
  <c r="AZ215" i="3"/>
  <c r="AY215" i="3"/>
  <c r="AX215" i="3"/>
  <c r="AW215" i="3"/>
  <c r="AV215" i="3"/>
  <c r="AU215" i="3"/>
  <c r="AT215" i="3"/>
  <c r="AS215" i="3"/>
  <c r="AR215" i="3"/>
  <c r="AQ215" i="3"/>
  <c r="AP215" i="3"/>
  <c r="AO215" i="3"/>
  <c r="AN215" i="3"/>
  <c r="AM215" i="3"/>
  <c r="AL215" i="3"/>
  <c r="AK215" i="3"/>
  <c r="AJ215" i="3"/>
  <c r="AI215" i="3"/>
  <c r="AH215" i="3"/>
  <c r="AG215" i="3"/>
  <c r="AF215" i="3"/>
  <c r="BC214" i="3"/>
  <c r="BB214" i="3"/>
  <c r="BA214" i="3"/>
  <c r="AZ214" i="3"/>
  <c r="AY214" i="3"/>
  <c r="AX214" i="3"/>
  <c r="AW214" i="3"/>
  <c r="AV214" i="3"/>
  <c r="AU214" i="3"/>
  <c r="AT214" i="3"/>
  <c r="AS214" i="3"/>
  <c r="AR214" i="3"/>
  <c r="AQ214" i="3"/>
  <c r="AP214" i="3"/>
  <c r="AO214" i="3"/>
  <c r="AN214" i="3"/>
  <c r="AM214" i="3"/>
  <c r="AL214" i="3"/>
  <c r="AK214" i="3"/>
  <c r="AJ214" i="3"/>
  <c r="AI214" i="3"/>
  <c r="AH214" i="3"/>
  <c r="AG214" i="3"/>
  <c r="AF214" i="3"/>
  <c r="BC213" i="3"/>
  <c r="BB213" i="3"/>
  <c r="BA213" i="3"/>
  <c r="AZ213" i="3"/>
  <c r="AY213" i="3"/>
  <c r="AX213" i="3"/>
  <c r="AW213" i="3"/>
  <c r="AV213" i="3"/>
  <c r="AU213" i="3"/>
  <c r="AT213" i="3"/>
  <c r="AS213" i="3"/>
  <c r="AR213" i="3"/>
  <c r="AQ213" i="3"/>
  <c r="AP213" i="3"/>
  <c r="AO213" i="3"/>
  <c r="AN213" i="3"/>
  <c r="AM213" i="3"/>
  <c r="AL213" i="3"/>
  <c r="AK213" i="3"/>
  <c r="AJ213" i="3"/>
  <c r="AI213" i="3"/>
  <c r="AH213" i="3"/>
  <c r="AG213" i="3"/>
  <c r="AF213" i="3"/>
  <c r="BC212" i="3"/>
  <c r="BB212" i="3"/>
  <c r="BA212" i="3"/>
  <c r="AZ212" i="3"/>
  <c r="AY212" i="3"/>
  <c r="AX212" i="3"/>
  <c r="AW212" i="3"/>
  <c r="AV212" i="3"/>
  <c r="AU212" i="3"/>
  <c r="AT212" i="3"/>
  <c r="AS212" i="3"/>
  <c r="AR212" i="3"/>
  <c r="AQ212" i="3"/>
  <c r="AP212" i="3"/>
  <c r="AO212" i="3"/>
  <c r="AN212" i="3"/>
  <c r="AM212" i="3"/>
  <c r="AL212" i="3"/>
  <c r="AK212" i="3"/>
  <c r="AJ212" i="3"/>
  <c r="AI212" i="3"/>
  <c r="AH212" i="3"/>
  <c r="AG212" i="3"/>
  <c r="AF212" i="3"/>
  <c r="BC211" i="3"/>
  <c r="BB211" i="3"/>
  <c r="BA211" i="3"/>
  <c r="AZ211" i="3"/>
  <c r="AY211" i="3"/>
  <c r="AX211" i="3"/>
  <c r="AW211" i="3"/>
  <c r="AV211" i="3"/>
  <c r="AU211" i="3"/>
  <c r="AT211" i="3"/>
  <c r="AS211" i="3"/>
  <c r="AR211" i="3"/>
  <c r="AQ211" i="3"/>
  <c r="AP211" i="3"/>
  <c r="AO211" i="3"/>
  <c r="AN211" i="3"/>
  <c r="AM211" i="3"/>
  <c r="AL211" i="3"/>
  <c r="AK211" i="3"/>
  <c r="AJ211" i="3"/>
  <c r="AI211" i="3"/>
  <c r="AH211" i="3"/>
  <c r="AG211" i="3"/>
  <c r="AF211" i="3"/>
  <c r="BC210" i="3"/>
  <c r="BB210" i="3"/>
  <c r="BA210" i="3"/>
  <c r="AZ210" i="3"/>
  <c r="AY210" i="3"/>
  <c r="AX210" i="3"/>
  <c r="AW210" i="3"/>
  <c r="AV210" i="3"/>
  <c r="AU210" i="3"/>
  <c r="AT210" i="3"/>
  <c r="AS210" i="3"/>
  <c r="AR210" i="3"/>
  <c r="AQ210" i="3"/>
  <c r="AP210" i="3"/>
  <c r="AO210" i="3"/>
  <c r="AN210" i="3"/>
  <c r="AM210" i="3"/>
  <c r="AL210" i="3"/>
  <c r="AK210" i="3"/>
  <c r="AJ210" i="3"/>
  <c r="AI210" i="3"/>
  <c r="AH210" i="3"/>
  <c r="AG210" i="3"/>
  <c r="AF210" i="3"/>
  <c r="BC209" i="3"/>
  <c r="BB209" i="3"/>
  <c r="BA209" i="3"/>
  <c r="AZ209" i="3"/>
  <c r="AY209" i="3"/>
  <c r="AX209" i="3"/>
  <c r="AW209" i="3"/>
  <c r="AV209" i="3"/>
  <c r="AU209" i="3"/>
  <c r="AT209" i="3"/>
  <c r="AS209" i="3"/>
  <c r="AR209" i="3"/>
  <c r="AQ209" i="3"/>
  <c r="AP209" i="3"/>
  <c r="AO209" i="3"/>
  <c r="AN209" i="3"/>
  <c r="AM209" i="3"/>
  <c r="AL209" i="3"/>
  <c r="AK209" i="3"/>
  <c r="AJ209" i="3"/>
  <c r="AI209" i="3"/>
  <c r="AH209" i="3"/>
  <c r="AG209" i="3"/>
  <c r="AF209" i="3"/>
  <c r="BC208" i="3"/>
  <c r="BB208" i="3"/>
  <c r="BA208" i="3"/>
  <c r="AZ208" i="3"/>
  <c r="AY208" i="3"/>
  <c r="AX208" i="3"/>
  <c r="AW208" i="3"/>
  <c r="AV208" i="3"/>
  <c r="AU208" i="3"/>
  <c r="AT208" i="3"/>
  <c r="AS208" i="3"/>
  <c r="AR208" i="3"/>
  <c r="AQ208" i="3"/>
  <c r="AP208" i="3"/>
  <c r="AO208" i="3"/>
  <c r="AN208" i="3"/>
  <c r="AM208" i="3"/>
  <c r="AL208" i="3"/>
  <c r="AK208" i="3"/>
  <c r="AJ208" i="3"/>
  <c r="AI208" i="3"/>
  <c r="AH208" i="3"/>
  <c r="AG208" i="3"/>
  <c r="AF208" i="3"/>
  <c r="BC207" i="3"/>
  <c r="BB207" i="3"/>
  <c r="BA207" i="3"/>
  <c r="AZ207" i="3"/>
  <c r="AY207" i="3"/>
  <c r="AX207" i="3"/>
  <c r="AW207" i="3"/>
  <c r="AV207" i="3"/>
  <c r="AU207" i="3"/>
  <c r="AT207" i="3"/>
  <c r="AS207" i="3"/>
  <c r="AR207" i="3"/>
  <c r="AQ207" i="3"/>
  <c r="AP207" i="3"/>
  <c r="AO207" i="3"/>
  <c r="AN207" i="3"/>
  <c r="AM207" i="3"/>
  <c r="AL207" i="3"/>
  <c r="AK207" i="3"/>
  <c r="AJ207" i="3"/>
  <c r="AI207" i="3"/>
  <c r="AH207" i="3"/>
  <c r="AG207" i="3"/>
  <c r="AF207" i="3"/>
  <c r="BC206" i="3"/>
  <c r="BB206" i="3"/>
  <c r="BA206" i="3"/>
  <c r="AZ206" i="3"/>
  <c r="AY206" i="3"/>
  <c r="AX206" i="3"/>
  <c r="AW206" i="3"/>
  <c r="AV206" i="3"/>
  <c r="AU206" i="3"/>
  <c r="AT206" i="3"/>
  <c r="AS206" i="3"/>
  <c r="AR206" i="3"/>
  <c r="AQ206" i="3"/>
  <c r="AP206" i="3"/>
  <c r="AO206" i="3"/>
  <c r="AN206" i="3"/>
  <c r="AM206" i="3"/>
  <c r="AL206" i="3"/>
  <c r="AK206" i="3"/>
  <c r="AJ206" i="3"/>
  <c r="AI206" i="3"/>
  <c r="AH206" i="3"/>
  <c r="AG206" i="3"/>
  <c r="AF206" i="3"/>
  <c r="BC205" i="3"/>
  <c r="BB205" i="3"/>
  <c r="BA205" i="3"/>
  <c r="AZ205" i="3"/>
  <c r="AY205" i="3"/>
  <c r="AX205" i="3"/>
  <c r="AW205" i="3"/>
  <c r="AV205" i="3"/>
  <c r="AU205" i="3"/>
  <c r="AT205" i="3"/>
  <c r="AS205" i="3"/>
  <c r="AR205" i="3"/>
  <c r="AQ205" i="3"/>
  <c r="AP205" i="3"/>
  <c r="AO205" i="3"/>
  <c r="AN205" i="3"/>
  <c r="AM205" i="3"/>
  <c r="AL205" i="3"/>
  <c r="AK205" i="3"/>
  <c r="AJ205" i="3"/>
  <c r="AI205" i="3"/>
  <c r="AH205" i="3"/>
  <c r="AG205" i="3"/>
  <c r="AF205" i="3"/>
  <c r="BC204" i="3"/>
  <c r="BB204" i="3"/>
  <c r="BA204" i="3"/>
  <c r="AZ204" i="3"/>
  <c r="AY204" i="3"/>
  <c r="AX204" i="3"/>
  <c r="AW204" i="3"/>
  <c r="AV204" i="3"/>
  <c r="AU204" i="3"/>
  <c r="AT204" i="3"/>
  <c r="AS204" i="3"/>
  <c r="AR204" i="3"/>
  <c r="AQ204" i="3"/>
  <c r="AP204" i="3"/>
  <c r="AO204" i="3"/>
  <c r="AN204" i="3"/>
  <c r="AM204" i="3"/>
  <c r="AL204" i="3"/>
  <c r="AK204" i="3"/>
  <c r="AJ204" i="3"/>
  <c r="AI204" i="3"/>
  <c r="AH204" i="3"/>
  <c r="AG204" i="3"/>
  <c r="AF204" i="3"/>
  <c r="BC203" i="3"/>
  <c r="BB203" i="3"/>
  <c r="BA203" i="3"/>
  <c r="AZ203" i="3"/>
  <c r="AY203" i="3"/>
  <c r="AX203" i="3"/>
  <c r="AW203" i="3"/>
  <c r="AV203" i="3"/>
  <c r="AU203" i="3"/>
  <c r="AT203" i="3"/>
  <c r="AS203" i="3"/>
  <c r="AR203" i="3"/>
  <c r="AQ203" i="3"/>
  <c r="AP203" i="3"/>
  <c r="AO203" i="3"/>
  <c r="AN203" i="3"/>
  <c r="AM203" i="3"/>
  <c r="AL203" i="3"/>
  <c r="AK203" i="3"/>
  <c r="AJ203" i="3"/>
  <c r="AI203" i="3"/>
  <c r="AH203" i="3"/>
  <c r="AG203" i="3"/>
  <c r="AF203" i="3"/>
  <c r="BC202" i="3"/>
  <c r="BB202" i="3"/>
  <c r="BA202" i="3"/>
  <c r="AZ202" i="3"/>
  <c r="AY202" i="3"/>
  <c r="AX202" i="3"/>
  <c r="AW202" i="3"/>
  <c r="AV202" i="3"/>
  <c r="AU202" i="3"/>
  <c r="AT202" i="3"/>
  <c r="AS202" i="3"/>
  <c r="AR202" i="3"/>
  <c r="AQ202" i="3"/>
  <c r="AP202" i="3"/>
  <c r="AO202" i="3"/>
  <c r="AN202" i="3"/>
  <c r="AM202" i="3"/>
  <c r="AL202" i="3"/>
  <c r="AK202" i="3"/>
  <c r="AJ202" i="3"/>
  <c r="AI202" i="3"/>
  <c r="AH202" i="3"/>
  <c r="AG202" i="3"/>
  <c r="AF202" i="3"/>
  <c r="BC201" i="3"/>
  <c r="BB201" i="3"/>
  <c r="BA201" i="3"/>
  <c r="AZ201" i="3"/>
  <c r="AY201" i="3"/>
  <c r="AX201" i="3"/>
  <c r="AW201" i="3"/>
  <c r="AV201" i="3"/>
  <c r="AU201" i="3"/>
  <c r="AT201" i="3"/>
  <c r="AS201" i="3"/>
  <c r="AR201" i="3"/>
  <c r="AQ201" i="3"/>
  <c r="AP201" i="3"/>
  <c r="AO201" i="3"/>
  <c r="AN201" i="3"/>
  <c r="AM201" i="3"/>
  <c r="AL201" i="3"/>
  <c r="AK201" i="3"/>
  <c r="AJ201" i="3"/>
  <c r="AI201" i="3"/>
  <c r="AH201" i="3"/>
  <c r="AG201" i="3"/>
  <c r="AF201" i="3"/>
  <c r="BC200" i="3"/>
  <c r="BB200" i="3"/>
  <c r="BA200" i="3"/>
  <c r="AZ200" i="3"/>
  <c r="AY200" i="3"/>
  <c r="AX200" i="3"/>
  <c r="AW200" i="3"/>
  <c r="AV200" i="3"/>
  <c r="AU200" i="3"/>
  <c r="AT200" i="3"/>
  <c r="AS200" i="3"/>
  <c r="AR200" i="3"/>
  <c r="AQ200" i="3"/>
  <c r="AP200" i="3"/>
  <c r="AO200" i="3"/>
  <c r="AN200" i="3"/>
  <c r="AM200" i="3"/>
  <c r="AL200" i="3"/>
  <c r="AK200" i="3"/>
  <c r="AJ200" i="3"/>
  <c r="AI200" i="3"/>
  <c r="AH200" i="3"/>
  <c r="AG200" i="3"/>
  <c r="AF200" i="3"/>
  <c r="BC199" i="3"/>
  <c r="BB199" i="3"/>
  <c r="BA199" i="3"/>
  <c r="AZ199" i="3"/>
  <c r="AY199" i="3"/>
  <c r="AX199" i="3"/>
  <c r="AW199" i="3"/>
  <c r="AV199" i="3"/>
  <c r="AU199" i="3"/>
  <c r="AT199" i="3"/>
  <c r="AS199" i="3"/>
  <c r="AR199" i="3"/>
  <c r="AQ199" i="3"/>
  <c r="AP199" i="3"/>
  <c r="AO199" i="3"/>
  <c r="AN199" i="3"/>
  <c r="AM199" i="3"/>
  <c r="AL199" i="3"/>
  <c r="AK199" i="3"/>
  <c r="AJ199" i="3"/>
  <c r="AI199" i="3"/>
  <c r="AH199" i="3"/>
  <c r="AG199" i="3"/>
  <c r="AF199" i="3"/>
  <c r="BC198" i="3"/>
  <c r="BB198" i="3"/>
  <c r="BA198" i="3"/>
  <c r="AZ198" i="3"/>
  <c r="AY198" i="3"/>
  <c r="AX198" i="3"/>
  <c r="AW198" i="3"/>
  <c r="AV198" i="3"/>
  <c r="AU198" i="3"/>
  <c r="AT198" i="3"/>
  <c r="AS198" i="3"/>
  <c r="AR198" i="3"/>
  <c r="AQ198" i="3"/>
  <c r="AP198" i="3"/>
  <c r="AO198" i="3"/>
  <c r="AN198" i="3"/>
  <c r="AM198" i="3"/>
  <c r="AL198" i="3"/>
  <c r="AK198" i="3"/>
  <c r="AJ198" i="3"/>
  <c r="AI198" i="3"/>
  <c r="AH198" i="3"/>
  <c r="AG198" i="3"/>
  <c r="AF198" i="3"/>
  <c r="BC197" i="3"/>
  <c r="BB197" i="3"/>
  <c r="BA197" i="3"/>
  <c r="AZ197" i="3"/>
  <c r="AY197" i="3"/>
  <c r="AX197" i="3"/>
  <c r="AW197" i="3"/>
  <c r="AV197" i="3"/>
  <c r="AU197" i="3"/>
  <c r="AT197" i="3"/>
  <c r="AS197" i="3"/>
  <c r="AR197" i="3"/>
  <c r="AQ197" i="3"/>
  <c r="AP197" i="3"/>
  <c r="AO197" i="3"/>
  <c r="AN197" i="3"/>
  <c r="AM197" i="3"/>
  <c r="AL197" i="3"/>
  <c r="AK197" i="3"/>
  <c r="AJ197" i="3"/>
  <c r="AI197" i="3"/>
  <c r="AH197" i="3"/>
  <c r="AG197" i="3"/>
  <c r="AF197" i="3"/>
  <c r="BC196" i="3"/>
  <c r="BB196" i="3"/>
  <c r="BA196" i="3"/>
  <c r="AZ196" i="3"/>
  <c r="AY196" i="3"/>
  <c r="AX196" i="3"/>
  <c r="AW196" i="3"/>
  <c r="AV196" i="3"/>
  <c r="AU196" i="3"/>
  <c r="AT196" i="3"/>
  <c r="AS196" i="3"/>
  <c r="AR196" i="3"/>
  <c r="AQ196" i="3"/>
  <c r="AP196" i="3"/>
  <c r="AO196" i="3"/>
  <c r="AN196" i="3"/>
  <c r="AM196" i="3"/>
  <c r="AL196" i="3"/>
  <c r="AK196" i="3"/>
  <c r="AJ196" i="3"/>
  <c r="AI196" i="3"/>
  <c r="AH196" i="3"/>
  <c r="AG196" i="3"/>
  <c r="AF196" i="3"/>
  <c r="BC195" i="3"/>
  <c r="BB195" i="3"/>
  <c r="BA195" i="3"/>
  <c r="AZ195" i="3"/>
  <c r="AY195" i="3"/>
  <c r="AX195" i="3"/>
  <c r="AW195" i="3"/>
  <c r="AV195" i="3"/>
  <c r="AU195" i="3"/>
  <c r="AT195" i="3"/>
  <c r="AS195" i="3"/>
  <c r="AR195" i="3"/>
  <c r="AQ195" i="3"/>
  <c r="AP195" i="3"/>
  <c r="AO195" i="3"/>
  <c r="AN195" i="3"/>
  <c r="AM195" i="3"/>
  <c r="AL195" i="3"/>
  <c r="AK195" i="3"/>
  <c r="AJ195" i="3"/>
  <c r="AI195" i="3"/>
  <c r="AH195" i="3"/>
  <c r="AG195" i="3"/>
  <c r="AF195" i="3"/>
  <c r="BC194" i="3"/>
  <c r="BB194" i="3"/>
  <c r="BA194" i="3"/>
  <c r="AZ194" i="3"/>
  <c r="AY194" i="3"/>
  <c r="AX194" i="3"/>
  <c r="AW194" i="3"/>
  <c r="AV194" i="3"/>
  <c r="AU194" i="3"/>
  <c r="AT194" i="3"/>
  <c r="AS194" i="3"/>
  <c r="AR194" i="3"/>
  <c r="AQ194" i="3"/>
  <c r="AP194" i="3"/>
  <c r="AO194" i="3"/>
  <c r="AN194" i="3"/>
  <c r="AM194" i="3"/>
  <c r="AL194" i="3"/>
  <c r="AK194" i="3"/>
  <c r="AJ194" i="3"/>
  <c r="AI194" i="3"/>
  <c r="AH194" i="3"/>
  <c r="AG194" i="3"/>
  <c r="AF194" i="3"/>
  <c r="BC193" i="3"/>
  <c r="BB193" i="3"/>
  <c r="BA193" i="3"/>
  <c r="AZ193" i="3"/>
  <c r="AY193" i="3"/>
  <c r="AX193" i="3"/>
  <c r="AW193" i="3"/>
  <c r="AV193" i="3"/>
  <c r="AU193" i="3"/>
  <c r="AT193" i="3"/>
  <c r="AS193" i="3"/>
  <c r="AR193" i="3"/>
  <c r="AQ193" i="3"/>
  <c r="AP193" i="3"/>
  <c r="AO193" i="3"/>
  <c r="AN193" i="3"/>
  <c r="AM193" i="3"/>
  <c r="AL193" i="3"/>
  <c r="AK193" i="3"/>
  <c r="AJ193" i="3"/>
  <c r="AI193" i="3"/>
  <c r="AH193" i="3"/>
  <c r="AG193" i="3"/>
  <c r="AF193" i="3"/>
  <c r="BC192" i="3"/>
  <c r="BB192" i="3"/>
  <c r="BA192" i="3"/>
  <c r="AZ192" i="3"/>
  <c r="AY192" i="3"/>
  <c r="AX192" i="3"/>
  <c r="AW192" i="3"/>
  <c r="AV192" i="3"/>
  <c r="AU192" i="3"/>
  <c r="AT192" i="3"/>
  <c r="AS192" i="3"/>
  <c r="AR192" i="3"/>
  <c r="AQ192" i="3"/>
  <c r="AP192" i="3"/>
  <c r="AO192" i="3"/>
  <c r="AN192" i="3"/>
  <c r="AM192" i="3"/>
  <c r="AL192" i="3"/>
  <c r="AK192" i="3"/>
  <c r="AJ192" i="3"/>
  <c r="AI192" i="3"/>
  <c r="AH192" i="3"/>
  <c r="AG192" i="3"/>
  <c r="AF192" i="3"/>
  <c r="BC191" i="3"/>
  <c r="BB191" i="3"/>
  <c r="BA191" i="3"/>
  <c r="AZ191" i="3"/>
  <c r="AY191" i="3"/>
  <c r="AX191" i="3"/>
  <c r="AW191" i="3"/>
  <c r="AV191" i="3"/>
  <c r="AU191" i="3"/>
  <c r="AT191" i="3"/>
  <c r="AS191" i="3"/>
  <c r="AR191" i="3"/>
  <c r="AQ191" i="3"/>
  <c r="AP191" i="3"/>
  <c r="AO191" i="3"/>
  <c r="AN191" i="3"/>
  <c r="AM191" i="3"/>
  <c r="AL191" i="3"/>
  <c r="AK191" i="3"/>
  <c r="AJ191" i="3"/>
  <c r="AI191" i="3"/>
  <c r="AH191" i="3"/>
  <c r="AG191" i="3"/>
  <c r="AF191" i="3"/>
  <c r="BC190" i="3"/>
  <c r="BB190" i="3"/>
  <c r="BA190" i="3"/>
  <c r="AZ190" i="3"/>
  <c r="AY190" i="3"/>
  <c r="AX190" i="3"/>
  <c r="AW190" i="3"/>
  <c r="AV190" i="3"/>
  <c r="AU190" i="3"/>
  <c r="AT190" i="3"/>
  <c r="AS190" i="3"/>
  <c r="AR190" i="3"/>
  <c r="AQ190" i="3"/>
  <c r="AP190" i="3"/>
  <c r="AO190" i="3"/>
  <c r="AN190" i="3"/>
  <c r="AM190" i="3"/>
  <c r="AL190" i="3"/>
  <c r="AK190" i="3"/>
  <c r="AJ190" i="3"/>
  <c r="AI190" i="3"/>
  <c r="AH190" i="3"/>
  <c r="AG190" i="3"/>
  <c r="AF190" i="3"/>
  <c r="BC189" i="3"/>
  <c r="BB189" i="3"/>
  <c r="BA189" i="3"/>
  <c r="AZ189" i="3"/>
  <c r="AY189" i="3"/>
  <c r="AX189" i="3"/>
  <c r="AW189" i="3"/>
  <c r="AV189" i="3"/>
  <c r="AU189" i="3"/>
  <c r="AT189" i="3"/>
  <c r="AS189" i="3"/>
  <c r="AR189" i="3"/>
  <c r="AQ189" i="3"/>
  <c r="AP189" i="3"/>
  <c r="AO189" i="3"/>
  <c r="AN189" i="3"/>
  <c r="AM189" i="3"/>
  <c r="AL189" i="3"/>
  <c r="AK189" i="3"/>
  <c r="AJ189" i="3"/>
  <c r="AI189" i="3"/>
  <c r="AH189" i="3"/>
  <c r="AG189" i="3"/>
  <c r="AF189" i="3"/>
  <c r="BC188" i="3"/>
  <c r="BB188" i="3"/>
  <c r="BA188" i="3"/>
  <c r="AZ188" i="3"/>
  <c r="AY188" i="3"/>
  <c r="AX188" i="3"/>
  <c r="AW188" i="3"/>
  <c r="AV188" i="3"/>
  <c r="AU188" i="3"/>
  <c r="AT188" i="3"/>
  <c r="AS188" i="3"/>
  <c r="AR188" i="3"/>
  <c r="AQ188" i="3"/>
  <c r="AP188" i="3"/>
  <c r="AO188" i="3"/>
  <c r="AN188" i="3"/>
  <c r="AM188" i="3"/>
  <c r="AL188" i="3"/>
  <c r="AK188" i="3"/>
  <c r="AJ188" i="3"/>
  <c r="AI188" i="3"/>
  <c r="AH188" i="3"/>
  <c r="AG188" i="3"/>
  <c r="AF188" i="3"/>
  <c r="BC187" i="3"/>
  <c r="BB187" i="3"/>
  <c r="BA187" i="3"/>
  <c r="AZ187" i="3"/>
  <c r="AY187" i="3"/>
  <c r="AX187" i="3"/>
  <c r="AW187" i="3"/>
  <c r="AV187" i="3"/>
  <c r="AU187" i="3"/>
  <c r="AT187" i="3"/>
  <c r="AS187" i="3"/>
  <c r="AR187" i="3"/>
  <c r="AQ187" i="3"/>
  <c r="AP187" i="3"/>
  <c r="AO187" i="3"/>
  <c r="AN187" i="3"/>
  <c r="AM187" i="3"/>
  <c r="AL187" i="3"/>
  <c r="AK187" i="3"/>
  <c r="AJ187" i="3"/>
  <c r="AI187" i="3"/>
  <c r="AH187" i="3"/>
  <c r="AG187" i="3"/>
  <c r="AF187" i="3"/>
  <c r="BC186" i="3"/>
  <c r="BB186" i="3"/>
  <c r="BA186" i="3"/>
  <c r="AZ186" i="3"/>
  <c r="AY186" i="3"/>
  <c r="AX186" i="3"/>
  <c r="AW186" i="3"/>
  <c r="AV186" i="3"/>
  <c r="AU186" i="3"/>
  <c r="AT186" i="3"/>
  <c r="AS186" i="3"/>
  <c r="AR186" i="3"/>
  <c r="AQ186" i="3"/>
  <c r="AP186" i="3"/>
  <c r="AO186" i="3"/>
  <c r="AN186" i="3"/>
  <c r="AM186" i="3"/>
  <c r="AL186" i="3"/>
  <c r="AK186" i="3"/>
  <c r="AJ186" i="3"/>
  <c r="AI186" i="3"/>
  <c r="AH186" i="3"/>
  <c r="AG186" i="3"/>
  <c r="AF186" i="3"/>
  <c r="BC185" i="3"/>
  <c r="BB185" i="3"/>
  <c r="BA185" i="3"/>
  <c r="AZ185" i="3"/>
  <c r="AY185" i="3"/>
  <c r="AX185" i="3"/>
  <c r="AW185" i="3"/>
  <c r="AV185" i="3"/>
  <c r="AU185" i="3"/>
  <c r="AT185" i="3"/>
  <c r="AS185" i="3"/>
  <c r="AR185" i="3"/>
  <c r="AQ185" i="3"/>
  <c r="AP185" i="3"/>
  <c r="AO185" i="3"/>
  <c r="AN185" i="3"/>
  <c r="AM185" i="3"/>
  <c r="AL185" i="3"/>
  <c r="AK185" i="3"/>
  <c r="AJ185" i="3"/>
  <c r="AI185" i="3"/>
  <c r="AH185" i="3"/>
  <c r="AG185" i="3"/>
  <c r="AF185" i="3"/>
  <c r="BC184" i="3"/>
  <c r="BB184" i="3"/>
  <c r="BA184" i="3"/>
  <c r="AZ184" i="3"/>
  <c r="AY184" i="3"/>
  <c r="AX184" i="3"/>
  <c r="AW184" i="3"/>
  <c r="AV184" i="3"/>
  <c r="AU184" i="3"/>
  <c r="AT184" i="3"/>
  <c r="AS184" i="3"/>
  <c r="AR184" i="3"/>
  <c r="AQ184" i="3"/>
  <c r="AP184" i="3"/>
  <c r="AO184" i="3"/>
  <c r="AN184" i="3"/>
  <c r="AM184" i="3"/>
  <c r="AL184" i="3"/>
  <c r="AK184" i="3"/>
  <c r="AJ184" i="3"/>
  <c r="AI184" i="3"/>
  <c r="AH184" i="3"/>
  <c r="AG184" i="3"/>
  <c r="AF184" i="3"/>
  <c r="BC183" i="3"/>
  <c r="BB183" i="3"/>
  <c r="BA183" i="3"/>
  <c r="AZ183" i="3"/>
  <c r="AY183" i="3"/>
  <c r="AX183" i="3"/>
  <c r="AW183" i="3"/>
  <c r="AV183" i="3"/>
  <c r="AU183" i="3"/>
  <c r="AT183" i="3"/>
  <c r="AS183" i="3"/>
  <c r="AR183" i="3"/>
  <c r="AQ183" i="3"/>
  <c r="AP183" i="3"/>
  <c r="AO183" i="3"/>
  <c r="AN183" i="3"/>
  <c r="AM183" i="3"/>
  <c r="AL183" i="3"/>
  <c r="AK183" i="3"/>
  <c r="AJ183" i="3"/>
  <c r="AI183" i="3"/>
  <c r="AH183" i="3"/>
  <c r="AG183" i="3"/>
  <c r="AF183" i="3"/>
  <c r="BC182" i="3"/>
  <c r="BB182" i="3"/>
  <c r="BA182" i="3"/>
  <c r="AZ182" i="3"/>
  <c r="AY182" i="3"/>
  <c r="AX182" i="3"/>
  <c r="AW182" i="3"/>
  <c r="AV182" i="3"/>
  <c r="AU182" i="3"/>
  <c r="AT182" i="3"/>
  <c r="AS182" i="3"/>
  <c r="AR182" i="3"/>
  <c r="AQ182" i="3"/>
  <c r="AP182" i="3"/>
  <c r="AO182" i="3"/>
  <c r="AN182" i="3"/>
  <c r="AM182" i="3"/>
  <c r="AL182" i="3"/>
  <c r="AK182" i="3"/>
  <c r="AJ182" i="3"/>
  <c r="AI182" i="3"/>
  <c r="AH182" i="3"/>
  <c r="AG182" i="3"/>
  <c r="AF182" i="3"/>
  <c r="BC181" i="3"/>
  <c r="BB181" i="3"/>
  <c r="BA181" i="3"/>
  <c r="AZ181" i="3"/>
  <c r="AY181" i="3"/>
  <c r="AX181" i="3"/>
  <c r="AW181" i="3"/>
  <c r="AV181" i="3"/>
  <c r="AU181" i="3"/>
  <c r="AT181" i="3"/>
  <c r="AS181" i="3"/>
  <c r="AR181" i="3"/>
  <c r="AQ181" i="3"/>
  <c r="AP181" i="3"/>
  <c r="AO181" i="3"/>
  <c r="AN181" i="3"/>
  <c r="AM181" i="3"/>
  <c r="AL181" i="3"/>
  <c r="AK181" i="3"/>
  <c r="AJ181" i="3"/>
  <c r="AI181" i="3"/>
  <c r="AH181" i="3"/>
  <c r="AG181" i="3"/>
  <c r="AF181" i="3"/>
  <c r="BC180" i="3"/>
  <c r="BB180" i="3"/>
  <c r="BA180" i="3"/>
  <c r="AZ180" i="3"/>
  <c r="AY180" i="3"/>
  <c r="AX180" i="3"/>
  <c r="AW180" i="3"/>
  <c r="AV180" i="3"/>
  <c r="AU180" i="3"/>
  <c r="AT180" i="3"/>
  <c r="AS180" i="3"/>
  <c r="AR180" i="3"/>
  <c r="AQ180" i="3"/>
  <c r="AP180" i="3"/>
  <c r="AO180" i="3"/>
  <c r="AN180" i="3"/>
  <c r="AM180" i="3"/>
  <c r="AL180" i="3"/>
  <c r="AK180" i="3"/>
  <c r="AJ180" i="3"/>
  <c r="AI180" i="3"/>
  <c r="AH180" i="3"/>
  <c r="AG180" i="3"/>
  <c r="AF180" i="3"/>
  <c r="BC179" i="3"/>
  <c r="BB179" i="3"/>
  <c r="BA179" i="3"/>
  <c r="AZ179" i="3"/>
  <c r="AY179" i="3"/>
  <c r="AX179" i="3"/>
  <c r="AW179" i="3"/>
  <c r="AV179" i="3"/>
  <c r="AU179" i="3"/>
  <c r="AT179" i="3"/>
  <c r="AS179" i="3"/>
  <c r="AR179" i="3"/>
  <c r="AQ179" i="3"/>
  <c r="AP179" i="3"/>
  <c r="AO179" i="3"/>
  <c r="AN179" i="3"/>
  <c r="AM179" i="3"/>
  <c r="AL179" i="3"/>
  <c r="AK179" i="3"/>
  <c r="AJ179" i="3"/>
  <c r="AI179" i="3"/>
  <c r="AH179" i="3"/>
  <c r="AG179" i="3"/>
  <c r="AF179" i="3"/>
  <c r="BC178" i="3"/>
  <c r="BB178" i="3"/>
  <c r="BA178" i="3"/>
  <c r="AZ178" i="3"/>
  <c r="AY178" i="3"/>
  <c r="AX178" i="3"/>
  <c r="AW178" i="3"/>
  <c r="AV178" i="3"/>
  <c r="AU178" i="3"/>
  <c r="AT178" i="3"/>
  <c r="AS178" i="3"/>
  <c r="AR178" i="3"/>
  <c r="AQ178" i="3"/>
  <c r="AP178" i="3"/>
  <c r="AO178" i="3"/>
  <c r="AN178" i="3"/>
  <c r="AM178" i="3"/>
  <c r="AL178" i="3"/>
  <c r="AK178" i="3"/>
  <c r="AJ178" i="3"/>
  <c r="AI178" i="3"/>
  <c r="AH178" i="3"/>
  <c r="AG178" i="3"/>
  <c r="AF178" i="3"/>
  <c r="BC177" i="3"/>
  <c r="BB177" i="3"/>
  <c r="BA177" i="3"/>
  <c r="AZ177" i="3"/>
  <c r="AY177" i="3"/>
  <c r="AX177" i="3"/>
  <c r="AW177" i="3"/>
  <c r="AV177" i="3"/>
  <c r="AU177" i="3"/>
  <c r="AT177" i="3"/>
  <c r="AS177" i="3"/>
  <c r="AR177" i="3"/>
  <c r="AQ177" i="3"/>
  <c r="AP177" i="3"/>
  <c r="AO177" i="3"/>
  <c r="AN177" i="3"/>
  <c r="AM177" i="3"/>
  <c r="AL177" i="3"/>
  <c r="AK177" i="3"/>
  <c r="AJ177" i="3"/>
  <c r="AI177" i="3"/>
  <c r="AH177" i="3"/>
  <c r="AG177" i="3"/>
  <c r="AF177" i="3"/>
  <c r="BC176" i="3"/>
  <c r="BB176" i="3"/>
  <c r="BA176" i="3"/>
  <c r="AZ176" i="3"/>
  <c r="AY176" i="3"/>
  <c r="AX176" i="3"/>
  <c r="AW176" i="3"/>
  <c r="AV176" i="3"/>
  <c r="AU176" i="3"/>
  <c r="AT176" i="3"/>
  <c r="AS176" i="3"/>
  <c r="AR176" i="3"/>
  <c r="AQ176" i="3"/>
  <c r="AP176" i="3"/>
  <c r="AO176" i="3"/>
  <c r="AN176" i="3"/>
  <c r="AM176" i="3"/>
  <c r="AL176" i="3"/>
  <c r="AK176" i="3"/>
  <c r="AJ176" i="3"/>
  <c r="AI176" i="3"/>
  <c r="AH176" i="3"/>
  <c r="AG176" i="3"/>
  <c r="AF176" i="3"/>
  <c r="BC175" i="3"/>
  <c r="BB175" i="3"/>
  <c r="BA175" i="3"/>
  <c r="AZ175" i="3"/>
  <c r="AY175" i="3"/>
  <c r="AX175" i="3"/>
  <c r="AW175" i="3"/>
  <c r="AV175" i="3"/>
  <c r="AU175" i="3"/>
  <c r="AT175" i="3"/>
  <c r="AS175" i="3"/>
  <c r="AR175" i="3"/>
  <c r="AQ175" i="3"/>
  <c r="AP175" i="3"/>
  <c r="AO175" i="3"/>
  <c r="AN175" i="3"/>
  <c r="AM175" i="3"/>
  <c r="AL175" i="3"/>
  <c r="AK175" i="3"/>
  <c r="AJ175" i="3"/>
  <c r="AI175" i="3"/>
  <c r="AH175" i="3"/>
  <c r="AG175" i="3"/>
  <c r="AF175" i="3"/>
  <c r="BC174" i="3"/>
  <c r="BB174" i="3"/>
  <c r="BA174" i="3"/>
  <c r="AZ174" i="3"/>
  <c r="AY174" i="3"/>
  <c r="AX174" i="3"/>
  <c r="AW174" i="3"/>
  <c r="AV174" i="3"/>
  <c r="AU174" i="3"/>
  <c r="AT174" i="3"/>
  <c r="AS174" i="3"/>
  <c r="AR174" i="3"/>
  <c r="AQ174" i="3"/>
  <c r="AP174" i="3"/>
  <c r="AO174" i="3"/>
  <c r="AN174" i="3"/>
  <c r="AM174" i="3"/>
  <c r="AL174" i="3"/>
  <c r="AK174" i="3"/>
  <c r="AJ174" i="3"/>
  <c r="AI174" i="3"/>
  <c r="AH174" i="3"/>
  <c r="AG174" i="3"/>
  <c r="AF174" i="3"/>
  <c r="BC173" i="3"/>
  <c r="BB173" i="3"/>
  <c r="BA173" i="3"/>
  <c r="AZ173" i="3"/>
  <c r="AY173" i="3"/>
  <c r="AX173" i="3"/>
  <c r="AW173" i="3"/>
  <c r="AV173" i="3"/>
  <c r="AU173" i="3"/>
  <c r="AT173" i="3"/>
  <c r="AS173" i="3"/>
  <c r="AR173" i="3"/>
  <c r="AQ173" i="3"/>
  <c r="AP173" i="3"/>
  <c r="AO173" i="3"/>
  <c r="AN173" i="3"/>
  <c r="AM173" i="3"/>
  <c r="AL173" i="3"/>
  <c r="AK173" i="3"/>
  <c r="AJ173" i="3"/>
  <c r="AI173" i="3"/>
  <c r="AH173" i="3"/>
  <c r="AG173" i="3"/>
  <c r="AF173" i="3"/>
  <c r="BC172" i="3"/>
  <c r="BB172" i="3"/>
  <c r="BA172" i="3"/>
  <c r="AZ172" i="3"/>
  <c r="AY172" i="3"/>
  <c r="AX172" i="3"/>
  <c r="AW172" i="3"/>
  <c r="AV172" i="3"/>
  <c r="AU172" i="3"/>
  <c r="AT172" i="3"/>
  <c r="AS172" i="3"/>
  <c r="AR172" i="3"/>
  <c r="AQ172" i="3"/>
  <c r="AP172" i="3"/>
  <c r="AO172" i="3"/>
  <c r="AN172" i="3"/>
  <c r="AM172" i="3"/>
  <c r="AL172" i="3"/>
  <c r="AK172" i="3"/>
  <c r="AJ172" i="3"/>
  <c r="AI172" i="3"/>
  <c r="AH172" i="3"/>
  <c r="AG172" i="3"/>
  <c r="AF172" i="3"/>
  <c r="BC171" i="3"/>
  <c r="BB171" i="3"/>
  <c r="BA171" i="3"/>
  <c r="AZ171" i="3"/>
  <c r="AY171" i="3"/>
  <c r="AX171" i="3"/>
  <c r="AW171" i="3"/>
  <c r="AV171" i="3"/>
  <c r="AU171" i="3"/>
  <c r="AT171" i="3"/>
  <c r="AS171" i="3"/>
  <c r="AR171" i="3"/>
  <c r="AQ171" i="3"/>
  <c r="AP171" i="3"/>
  <c r="AO171" i="3"/>
  <c r="AN171" i="3"/>
  <c r="AM171" i="3"/>
  <c r="AL171" i="3"/>
  <c r="AK171" i="3"/>
  <c r="AJ171" i="3"/>
  <c r="AI171" i="3"/>
  <c r="AH171" i="3"/>
  <c r="AG171" i="3"/>
  <c r="AF171" i="3"/>
  <c r="BC170" i="3"/>
  <c r="BB170" i="3"/>
  <c r="BA170" i="3"/>
  <c r="AZ170" i="3"/>
  <c r="AY170" i="3"/>
  <c r="AX170" i="3"/>
  <c r="AW170" i="3"/>
  <c r="AV170" i="3"/>
  <c r="AU170" i="3"/>
  <c r="AT170" i="3"/>
  <c r="AS170" i="3"/>
  <c r="AR170" i="3"/>
  <c r="AQ170" i="3"/>
  <c r="AP170" i="3"/>
  <c r="AO170" i="3"/>
  <c r="AN170" i="3"/>
  <c r="AM170" i="3"/>
  <c r="AL170" i="3"/>
  <c r="AK170" i="3"/>
  <c r="AJ170" i="3"/>
  <c r="AI170" i="3"/>
  <c r="AH170" i="3"/>
  <c r="AG170" i="3"/>
  <c r="AF170" i="3"/>
  <c r="BC169" i="3"/>
  <c r="BB169" i="3"/>
  <c r="BA169" i="3"/>
  <c r="AZ169" i="3"/>
  <c r="AY169" i="3"/>
  <c r="AX169" i="3"/>
  <c r="AW169" i="3"/>
  <c r="AV169" i="3"/>
  <c r="AU169" i="3"/>
  <c r="AT169" i="3"/>
  <c r="AS169" i="3"/>
  <c r="AR169" i="3"/>
  <c r="AQ169" i="3"/>
  <c r="AP169" i="3"/>
  <c r="AO169" i="3"/>
  <c r="AN169" i="3"/>
  <c r="AM169" i="3"/>
  <c r="AL169" i="3"/>
  <c r="AK169" i="3"/>
  <c r="AJ169" i="3"/>
  <c r="AI169" i="3"/>
  <c r="AH169" i="3"/>
  <c r="AG169" i="3"/>
  <c r="AF169" i="3"/>
  <c r="BC168" i="3"/>
  <c r="BB168" i="3"/>
  <c r="BA168" i="3"/>
  <c r="AZ168" i="3"/>
  <c r="AY168" i="3"/>
  <c r="AX168" i="3"/>
  <c r="AW168" i="3"/>
  <c r="AV168" i="3"/>
  <c r="AU168" i="3"/>
  <c r="AT168" i="3"/>
  <c r="AS168" i="3"/>
  <c r="AR168" i="3"/>
  <c r="AQ168" i="3"/>
  <c r="AP168" i="3"/>
  <c r="AO168" i="3"/>
  <c r="AN168" i="3"/>
  <c r="AM168" i="3"/>
  <c r="AL168" i="3"/>
  <c r="AK168" i="3"/>
  <c r="AJ168" i="3"/>
  <c r="AI168" i="3"/>
  <c r="AH168" i="3"/>
  <c r="AG168" i="3"/>
  <c r="AF168" i="3"/>
  <c r="BC167" i="3"/>
  <c r="BB167" i="3"/>
  <c r="BA167" i="3"/>
  <c r="AZ167" i="3"/>
  <c r="AY167" i="3"/>
  <c r="AX167" i="3"/>
  <c r="AW167" i="3"/>
  <c r="AV167" i="3"/>
  <c r="AU167" i="3"/>
  <c r="AT167" i="3"/>
  <c r="AS167" i="3"/>
  <c r="AR167" i="3"/>
  <c r="AQ167" i="3"/>
  <c r="AP167" i="3"/>
  <c r="AO167" i="3"/>
  <c r="AN167" i="3"/>
  <c r="AM167" i="3"/>
  <c r="AL167" i="3"/>
  <c r="AK167" i="3"/>
  <c r="AJ167" i="3"/>
  <c r="AI167" i="3"/>
  <c r="AH167" i="3"/>
  <c r="AG167" i="3"/>
  <c r="AF167" i="3"/>
  <c r="BC166" i="3"/>
  <c r="BB166" i="3"/>
  <c r="BA166" i="3"/>
  <c r="AZ166" i="3"/>
  <c r="AY166" i="3"/>
  <c r="AX166" i="3"/>
  <c r="AW166" i="3"/>
  <c r="AV166" i="3"/>
  <c r="AU166" i="3"/>
  <c r="AT166" i="3"/>
  <c r="AS166" i="3"/>
  <c r="AR166" i="3"/>
  <c r="AQ166" i="3"/>
  <c r="AP166" i="3"/>
  <c r="AO166" i="3"/>
  <c r="AN166" i="3"/>
  <c r="AM166" i="3"/>
  <c r="AL166" i="3"/>
  <c r="AK166" i="3"/>
  <c r="AJ166" i="3"/>
  <c r="AI166" i="3"/>
  <c r="AH166" i="3"/>
  <c r="AG166" i="3"/>
  <c r="AF166" i="3"/>
  <c r="BC165" i="3"/>
  <c r="BB165" i="3"/>
  <c r="BA165" i="3"/>
  <c r="AZ165" i="3"/>
  <c r="AY165" i="3"/>
  <c r="AX165" i="3"/>
  <c r="AW165" i="3"/>
  <c r="AV165" i="3"/>
  <c r="AU165" i="3"/>
  <c r="AT165" i="3"/>
  <c r="AS165" i="3"/>
  <c r="AR165" i="3"/>
  <c r="AQ165" i="3"/>
  <c r="AP165" i="3"/>
  <c r="AO165" i="3"/>
  <c r="AN165" i="3"/>
  <c r="AM165" i="3"/>
  <c r="AL165" i="3"/>
  <c r="AK165" i="3"/>
  <c r="AJ165" i="3"/>
  <c r="AI165" i="3"/>
  <c r="AH165" i="3"/>
  <c r="AG165" i="3"/>
  <c r="AF165" i="3"/>
  <c r="BC164" i="3"/>
  <c r="BB164" i="3"/>
  <c r="BA164" i="3"/>
  <c r="AZ164" i="3"/>
  <c r="AY164" i="3"/>
  <c r="AX164" i="3"/>
  <c r="AW164" i="3"/>
  <c r="AV164" i="3"/>
  <c r="AU164" i="3"/>
  <c r="AT164" i="3"/>
  <c r="AS164" i="3"/>
  <c r="AR164" i="3"/>
  <c r="AQ164" i="3"/>
  <c r="AP164" i="3"/>
  <c r="AO164" i="3"/>
  <c r="AN164" i="3"/>
  <c r="AM164" i="3"/>
  <c r="AL164" i="3"/>
  <c r="AK164" i="3"/>
  <c r="AJ164" i="3"/>
  <c r="AI164" i="3"/>
  <c r="AH164" i="3"/>
  <c r="AG164" i="3"/>
  <c r="AF164" i="3"/>
  <c r="BC163" i="3"/>
  <c r="BB163" i="3"/>
  <c r="BA163" i="3"/>
  <c r="AZ163" i="3"/>
  <c r="AY163" i="3"/>
  <c r="AX163" i="3"/>
  <c r="AW163" i="3"/>
  <c r="AV163" i="3"/>
  <c r="AU163" i="3"/>
  <c r="AT163" i="3"/>
  <c r="AS163" i="3"/>
  <c r="AR163" i="3"/>
  <c r="AQ163" i="3"/>
  <c r="AP163" i="3"/>
  <c r="AO163" i="3"/>
  <c r="AN163" i="3"/>
  <c r="AM163" i="3"/>
  <c r="AL163" i="3"/>
  <c r="AK163" i="3"/>
  <c r="AJ163" i="3"/>
  <c r="AI163" i="3"/>
  <c r="AH163" i="3"/>
  <c r="AG163" i="3"/>
  <c r="AF163" i="3"/>
  <c r="BC162" i="3"/>
  <c r="BB162" i="3"/>
  <c r="BA162" i="3"/>
  <c r="AZ162" i="3"/>
  <c r="AY162" i="3"/>
  <c r="AX162" i="3"/>
  <c r="AW162" i="3"/>
  <c r="AV162" i="3"/>
  <c r="AU162" i="3"/>
  <c r="AT162" i="3"/>
  <c r="AS162" i="3"/>
  <c r="AR162" i="3"/>
  <c r="AQ162" i="3"/>
  <c r="AP162" i="3"/>
  <c r="AO162" i="3"/>
  <c r="AN162" i="3"/>
  <c r="AM162" i="3"/>
  <c r="AL162" i="3"/>
  <c r="AK162" i="3"/>
  <c r="AJ162" i="3"/>
  <c r="AI162" i="3"/>
  <c r="AH162" i="3"/>
  <c r="AG162" i="3"/>
  <c r="AF162" i="3"/>
  <c r="BC161" i="3"/>
  <c r="BB161" i="3"/>
  <c r="BA161" i="3"/>
  <c r="AZ161" i="3"/>
  <c r="AY161" i="3"/>
  <c r="AX161" i="3"/>
  <c r="AW161" i="3"/>
  <c r="AV161" i="3"/>
  <c r="AU161" i="3"/>
  <c r="AT161" i="3"/>
  <c r="AS161" i="3"/>
  <c r="AR161" i="3"/>
  <c r="AQ161" i="3"/>
  <c r="AP161" i="3"/>
  <c r="AO161" i="3"/>
  <c r="AN161" i="3"/>
  <c r="AM161" i="3"/>
  <c r="AL161" i="3"/>
  <c r="AK161" i="3"/>
  <c r="AJ161" i="3"/>
  <c r="AI161" i="3"/>
  <c r="AH161" i="3"/>
  <c r="AG161" i="3"/>
  <c r="AF161" i="3"/>
  <c r="BC160" i="3"/>
  <c r="BB160" i="3"/>
  <c r="BA160" i="3"/>
  <c r="AZ160" i="3"/>
  <c r="AY160" i="3"/>
  <c r="AX160" i="3"/>
  <c r="AW160" i="3"/>
  <c r="AV160" i="3"/>
  <c r="AU160" i="3"/>
  <c r="AT160" i="3"/>
  <c r="AS160" i="3"/>
  <c r="AR160" i="3"/>
  <c r="AQ160" i="3"/>
  <c r="AP160" i="3"/>
  <c r="AO160" i="3"/>
  <c r="AN160" i="3"/>
  <c r="AM160" i="3"/>
  <c r="AL160" i="3"/>
  <c r="AK160" i="3"/>
  <c r="AJ160" i="3"/>
  <c r="AI160" i="3"/>
  <c r="AH160" i="3"/>
  <c r="AG160" i="3"/>
  <c r="AF160" i="3"/>
  <c r="BC159" i="3"/>
  <c r="BB159" i="3"/>
  <c r="BA159" i="3"/>
  <c r="AZ159" i="3"/>
  <c r="AY159" i="3"/>
  <c r="AX159" i="3"/>
  <c r="AW159" i="3"/>
  <c r="AV159" i="3"/>
  <c r="AU159" i="3"/>
  <c r="AT159" i="3"/>
  <c r="AS159" i="3"/>
  <c r="AR159" i="3"/>
  <c r="AQ159" i="3"/>
  <c r="AP159" i="3"/>
  <c r="AO159" i="3"/>
  <c r="AN159" i="3"/>
  <c r="AM159" i="3"/>
  <c r="AL159" i="3"/>
  <c r="AK159" i="3"/>
  <c r="AJ159" i="3"/>
  <c r="AI159" i="3"/>
  <c r="AH159" i="3"/>
  <c r="AG159" i="3"/>
  <c r="AF159" i="3"/>
  <c r="BC158" i="3"/>
  <c r="BB158" i="3"/>
  <c r="BA158" i="3"/>
  <c r="AZ158" i="3"/>
  <c r="AY158" i="3"/>
  <c r="AX158" i="3"/>
  <c r="AW158" i="3"/>
  <c r="AV158" i="3"/>
  <c r="AU158" i="3"/>
  <c r="AT158" i="3"/>
  <c r="AS158" i="3"/>
  <c r="AR158" i="3"/>
  <c r="AQ158" i="3"/>
  <c r="AP158" i="3"/>
  <c r="AO158" i="3"/>
  <c r="AN158" i="3"/>
  <c r="AM158" i="3"/>
  <c r="AL158" i="3"/>
  <c r="AK158" i="3"/>
  <c r="AJ158" i="3"/>
  <c r="AI158" i="3"/>
  <c r="AH158" i="3"/>
  <c r="AG158" i="3"/>
  <c r="AF158" i="3"/>
  <c r="BC157" i="3"/>
  <c r="BB157" i="3"/>
  <c r="BA157" i="3"/>
  <c r="AZ157" i="3"/>
  <c r="AY157" i="3"/>
  <c r="AX157" i="3"/>
  <c r="AW157" i="3"/>
  <c r="AV157" i="3"/>
  <c r="AU157" i="3"/>
  <c r="AT157" i="3"/>
  <c r="AS157" i="3"/>
  <c r="AR157" i="3"/>
  <c r="AQ157" i="3"/>
  <c r="AP157" i="3"/>
  <c r="AO157" i="3"/>
  <c r="AN157" i="3"/>
  <c r="AM157" i="3"/>
  <c r="AL157" i="3"/>
  <c r="AK157" i="3"/>
  <c r="AJ157" i="3"/>
  <c r="AI157" i="3"/>
  <c r="AH157" i="3"/>
  <c r="AG157" i="3"/>
  <c r="AF157" i="3"/>
  <c r="BC156" i="3"/>
  <c r="BB156" i="3"/>
  <c r="BA156" i="3"/>
  <c r="AZ156" i="3"/>
  <c r="AY156" i="3"/>
  <c r="AX156" i="3"/>
  <c r="AW156" i="3"/>
  <c r="AV156" i="3"/>
  <c r="AU156" i="3"/>
  <c r="AT156" i="3"/>
  <c r="AS156" i="3"/>
  <c r="AR156" i="3"/>
  <c r="AQ156" i="3"/>
  <c r="AP156" i="3"/>
  <c r="AO156" i="3"/>
  <c r="AN156" i="3"/>
  <c r="AM156" i="3"/>
  <c r="AL156" i="3"/>
  <c r="AK156" i="3"/>
  <c r="AJ156" i="3"/>
  <c r="AI156" i="3"/>
  <c r="AH156" i="3"/>
  <c r="AG156" i="3"/>
  <c r="AF156" i="3"/>
  <c r="BC155" i="3"/>
  <c r="BB155" i="3"/>
  <c r="BA155" i="3"/>
  <c r="AZ155" i="3"/>
  <c r="AY155" i="3"/>
  <c r="AX155" i="3"/>
  <c r="AW155" i="3"/>
  <c r="AV155" i="3"/>
  <c r="AU155" i="3"/>
  <c r="AT155" i="3"/>
  <c r="AS155" i="3"/>
  <c r="AR155" i="3"/>
  <c r="AQ155" i="3"/>
  <c r="AP155" i="3"/>
  <c r="AO155" i="3"/>
  <c r="AN155" i="3"/>
  <c r="AM155" i="3"/>
  <c r="AL155" i="3"/>
  <c r="AK155" i="3"/>
  <c r="AJ155" i="3"/>
  <c r="AI155" i="3"/>
  <c r="AH155" i="3"/>
  <c r="AG155" i="3"/>
  <c r="AF155" i="3"/>
  <c r="BC154" i="3"/>
  <c r="BB154" i="3"/>
  <c r="BA154" i="3"/>
  <c r="AZ154" i="3"/>
  <c r="AY154" i="3"/>
  <c r="AX154" i="3"/>
  <c r="AW154" i="3"/>
  <c r="AV154" i="3"/>
  <c r="AU154" i="3"/>
  <c r="AT154" i="3"/>
  <c r="AS154" i="3"/>
  <c r="AR154" i="3"/>
  <c r="AQ154" i="3"/>
  <c r="AP154" i="3"/>
  <c r="AO154" i="3"/>
  <c r="AN154" i="3"/>
  <c r="AM154" i="3"/>
  <c r="AL154" i="3"/>
  <c r="AK154" i="3"/>
  <c r="AJ154" i="3"/>
  <c r="AI154" i="3"/>
  <c r="AH154" i="3"/>
  <c r="AG154" i="3"/>
  <c r="AF154" i="3"/>
  <c r="BC153" i="3"/>
  <c r="BB153" i="3"/>
  <c r="BA153" i="3"/>
  <c r="AZ153" i="3"/>
  <c r="AY153" i="3"/>
  <c r="AX153" i="3"/>
  <c r="AW153" i="3"/>
  <c r="AV153" i="3"/>
  <c r="AU153" i="3"/>
  <c r="AT153" i="3"/>
  <c r="AS153" i="3"/>
  <c r="AR153" i="3"/>
  <c r="AQ153" i="3"/>
  <c r="AP153" i="3"/>
  <c r="AO153" i="3"/>
  <c r="AN153" i="3"/>
  <c r="AM153" i="3"/>
  <c r="AL153" i="3"/>
  <c r="AK153" i="3"/>
  <c r="AJ153" i="3"/>
  <c r="AI153" i="3"/>
  <c r="AH153" i="3"/>
  <c r="AG153" i="3"/>
  <c r="AF153" i="3"/>
  <c r="BC152" i="3"/>
  <c r="BB152" i="3"/>
  <c r="BA152" i="3"/>
  <c r="AZ152" i="3"/>
  <c r="AY152" i="3"/>
  <c r="AX152" i="3"/>
  <c r="AW152" i="3"/>
  <c r="AV152" i="3"/>
  <c r="AU152" i="3"/>
  <c r="AT152" i="3"/>
  <c r="AS152" i="3"/>
  <c r="AR152" i="3"/>
  <c r="AQ152" i="3"/>
  <c r="AP152" i="3"/>
  <c r="AO152" i="3"/>
  <c r="AN152" i="3"/>
  <c r="AM152" i="3"/>
  <c r="AL152" i="3"/>
  <c r="AK152" i="3"/>
  <c r="AJ152" i="3"/>
  <c r="AI152" i="3"/>
  <c r="AH152" i="3"/>
  <c r="AG152" i="3"/>
  <c r="AF152" i="3"/>
  <c r="BC151" i="3"/>
  <c r="BB151" i="3"/>
  <c r="BA151" i="3"/>
  <c r="AZ151" i="3"/>
  <c r="AY151" i="3"/>
  <c r="AX151" i="3"/>
  <c r="AW151" i="3"/>
  <c r="AV151" i="3"/>
  <c r="AU151" i="3"/>
  <c r="AT151" i="3"/>
  <c r="AS151" i="3"/>
  <c r="AR151" i="3"/>
  <c r="AQ151" i="3"/>
  <c r="AP151" i="3"/>
  <c r="AO151" i="3"/>
  <c r="AN151" i="3"/>
  <c r="AM151" i="3"/>
  <c r="AL151" i="3"/>
  <c r="AK151" i="3"/>
  <c r="AJ151" i="3"/>
  <c r="AI151" i="3"/>
  <c r="AH151" i="3"/>
  <c r="AG151" i="3"/>
  <c r="AF151" i="3"/>
  <c r="BC150" i="3"/>
  <c r="BB150" i="3"/>
  <c r="BA150" i="3"/>
  <c r="AZ150" i="3"/>
  <c r="AY150" i="3"/>
  <c r="AX150" i="3"/>
  <c r="AW150" i="3"/>
  <c r="AV150" i="3"/>
  <c r="AU150" i="3"/>
  <c r="AT150" i="3"/>
  <c r="AS150" i="3"/>
  <c r="AR150" i="3"/>
  <c r="AQ150" i="3"/>
  <c r="AP150" i="3"/>
  <c r="AO150" i="3"/>
  <c r="AN150" i="3"/>
  <c r="AM150" i="3"/>
  <c r="AL150" i="3"/>
  <c r="AK150" i="3"/>
  <c r="AJ150" i="3"/>
  <c r="AI150" i="3"/>
  <c r="AH150" i="3"/>
  <c r="AG150" i="3"/>
  <c r="AF150" i="3"/>
  <c r="BC149" i="3"/>
  <c r="BB149" i="3"/>
  <c r="BA149" i="3"/>
  <c r="AZ149" i="3"/>
  <c r="AY149" i="3"/>
  <c r="AX149" i="3"/>
  <c r="AW149" i="3"/>
  <c r="AV149" i="3"/>
  <c r="AU149" i="3"/>
  <c r="AT149" i="3"/>
  <c r="AS149" i="3"/>
  <c r="AR149" i="3"/>
  <c r="AQ149" i="3"/>
  <c r="AP149" i="3"/>
  <c r="AO149" i="3"/>
  <c r="AN149" i="3"/>
  <c r="AM149" i="3"/>
  <c r="AL149" i="3"/>
  <c r="AK149" i="3"/>
  <c r="AJ149" i="3"/>
  <c r="AI149" i="3"/>
  <c r="AH149" i="3"/>
  <c r="AG149" i="3"/>
  <c r="AF149" i="3"/>
  <c r="BC148" i="3"/>
  <c r="BB148" i="3"/>
  <c r="BA148" i="3"/>
  <c r="AZ148" i="3"/>
  <c r="AY148" i="3"/>
  <c r="AX148" i="3"/>
  <c r="AW148" i="3"/>
  <c r="AV148" i="3"/>
  <c r="AU148" i="3"/>
  <c r="AT148" i="3"/>
  <c r="AS148" i="3"/>
  <c r="AR148" i="3"/>
  <c r="AQ148" i="3"/>
  <c r="AP148" i="3"/>
  <c r="AO148" i="3"/>
  <c r="AN148" i="3"/>
  <c r="AM148" i="3"/>
  <c r="AL148" i="3"/>
  <c r="AK148" i="3"/>
  <c r="AJ148" i="3"/>
  <c r="AI148" i="3"/>
  <c r="AH148" i="3"/>
  <c r="AG148" i="3"/>
  <c r="AF148" i="3"/>
  <c r="BC147" i="3"/>
  <c r="BB147" i="3"/>
  <c r="BA147" i="3"/>
  <c r="AZ147" i="3"/>
  <c r="AY147" i="3"/>
  <c r="AX147" i="3"/>
  <c r="AW147" i="3"/>
  <c r="AV147" i="3"/>
  <c r="AU147" i="3"/>
  <c r="AT147" i="3"/>
  <c r="AS147" i="3"/>
  <c r="AR147" i="3"/>
  <c r="AQ147" i="3"/>
  <c r="AP147" i="3"/>
  <c r="AO147" i="3"/>
  <c r="AN147" i="3"/>
  <c r="AM147" i="3"/>
  <c r="AL147" i="3"/>
  <c r="AK147" i="3"/>
  <c r="AJ147" i="3"/>
  <c r="AI147" i="3"/>
  <c r="AH147" i="3"/>
  <c r="AG147" i="3"/>
  <c r="AF147" i="3"/>
  <c r="BC146" i="3"/>
  <c r="BB146" i="3"/>
  <c r="BA146" i="3"/>
  <c r="AZ146" i="3"/>
  <c r="AY146" i="3"/>
  <c r="AX146" i="3"/>
  <c r="AW146" i="3"/>
  <c r="AV146" i="3"/>
  <c r="AU146" i="3"/>
  <c r="AT146" i="3"/>
  <c r="AS146" i="3"/>
  <c r="AR146" i="3"/>
  <c r="AQ146" i="3"/>
  <c r="AP146" i="3"/>
  <c r="AO146" i="3"/>
  <c r="AN146" i="3"/>
  <c r="AM146" i="3"/>
  <c r="AL146" i="3"/>
  <c r="AK146" i="3"/>
  <c r="AJ146" i="3"/>
  <c r="AI146" i="3"/>
  <c r="AH146" i="3"/>
  <c r="AG146" i="3"/>
  <c r="AF146" i="3"/>
  <c r="BC145" i="3"/>
  <c r="BB145" i="3"/>
  <c r="BA145" i="3"/>
  <c r="AZ145" i="3"/>
  <c r="AY145" i="3"/>
  <c r="AX145" i="3"/>
  <c r="AW145" i="3"/>
  <c r="AV145" i="3"/>
  <c r="AU145" i="3"/>
  <c r="AT145" i="3"/>
  <c r="AS145" i="3"/>
  <c r="AR145" i="3"/>
  <c r="AQ145" i="3"/>
  <c r="AP145" i="3"/>
  <c r="AO145" i="3"/>
  <c r="AN145" i="3"/>
  <c r="AM145" i="3"/>
  <c r="AL145" i="3"/>
  <c r="AK145" i="3"/>
  <c r="AJ145" i="3"/>
  <c r="AI145" i="3"/>
  <c r="AH145" i="3"/>
  <c r="AG145" i="3"/>
  <c r="AF145" i="3"/>
  <c r="BC144" i="3"/>
  <c r="BB144" i="3"/>
  <c r="BA144" i="3"/>
  <c r="AZ144" i="3"/>
  <c r="AY144" i="3"/>
  <c r="AX144" i="3"/>
  <c r="AW144" i="3"/>
  <c r="AV144" i="3"/>
  <c r="AU144" i="3"/>
  <c r="AT144" i="3"/>
  <c r="AS144" i="3"/>
  <c r="AR144" i="3"/>
  <c r="AQ144" i="3"/>
  <c r="AP144" i="3"/>
  <c r="AO144" i="3"/>
  <c r="AN144" i="3"/>
  <c r="AM144" i="3"/>
  <c r="AL144" i="3"/>
  <c r="AK144" i="3"/>
  <c r="AJ144" i="3"/>
  <c r="AI144" i="3"/>
  <c r="AH144" i="3"/>
  <c r="AG144" i="3"/>
  <c r="AF144" i="3"/>
  <c r="BC143" i="3"/>
  <c r="BB143" i="3"/>
  <c r="BA143" i="3"/>
  <c r="AZ143" i="3"/>
  <c r="AY143" i="3"/>
  <c r="AX143" i="3"/>
  <c r="AW143" i="3"/>
  <c r="AV143" i="3"/>
  <c r="AU143" i="3"/>
  <c r="AT143" i="3"/>
  <c r="AS143" i="3"/>
  <c r="AR143" i="3"/>
  <c r="AQ143" i="3"/>
  <c r="AP143" i="3"/>
  <c r="AO143" i="3"/>
  <c r="AN143" i="3"/>
  <c r="AM143" i="3"/>
  <c r="AL143" i="3"/>
  <c r="AK143" i="3"/>
  <c r="AJ143" i="3"/>
  <c r="AI143" i="3"/>
  <c r="AH143" i="3"/>
  <c r="AG143" i="3"/>
  <c r="AF143" i="3"/>
  <c r="BC142" i="3"/>
  <c r="BB142" i="3"/>
  <c r="BA142" i="3"/>
  <c r="AZ142" i="3"/>
  <c r="AY142" i="3"/>
  <c r="AX142" i="3"/>
  <c r="AW142" i="3"/>
  <c r="AV142" i="3"/>
  <c r="AU142" i="3"/>
  <c r="AT142" i="3"/>
  <c r="AS142" i="3"/>
  <c r="AR142" i="3"/>
  <c r="AQ142" i="3"/>
  <c r="AP142" i="3"/>
  <c r="AO142" i="3"/>
  <c r="AN142" i="3"/>
  <c r="AM142" i="3"/>
  <c r="AL142" i="3"/>
  <c r="AK142" i="3"/>
  <c r="AJ142" i="3"/>
  <c r="AI142" i="3"/>
  <c r="AH142" i="3"/>
  <c r="AG142" i="3"/>
  <c r="AF142" i="3"/>
  <c r="BC141" i="3"/>
  <c r="BB141" i="3"/>
  <c r="BA141" i="3"/>
  <c r="AZ141" i="3"/>
  <c r="AY141" i="3"/>
  <c r="AX141" i="3"/>
  <c r="AW141" i="3"/>
  <c r="AV141" i="3"/>
  <c r="AU141" i="3"/>
  <c r="AT141" i="3"/>
  <c r="AS141" i="3"/>
  <c r="AR141" i="3"/>
  <c r="AQ141" i="3"/>
  <c r="AP141" i="3"/>
  <c r="AO141" i="3"/>
  <c r="AN141" i="3"/>
  <c r="AM141" i="3"/>
  <c r="AL141" i="3"/>
  <c r="AK141" i="3"/>
  <c r="AJ141" i="3"/>
  <c r="AI141" i="3"/>
  <c r="AH141" i="3"/>
  <c r="AG141" i="3"/>
  <c r="AF141" i="3"/>
  <c r="BC140" i="3"/>
  <c r="BB140" i="3"/>
  <c r="BA140" i="3"/>
  <c r="AZ140" i="3"/>
  <c r="AY140" i="3"/>
  <c r="AX140" i="3"/>
  <c r="AW140" i="3"/>
  <c r="AV140" i="3"/>
  <c r="AU140" i="3"/>
  <c r="AT140" i="3"/>
  <c r="AS140" i="3"/>
  <c r="AR140" i="3"/>
  <c r="AQ140" i="3"/>
  <c r="AP140" i="3"/>
  <c r="AO140" i="3"/>
  <c r="AN140" i="3"/>
  <c r="AM140" i="3"/>
  <c r="AL140" i="3"/>
  <c r="AK140" i="3"/>
  <c r="AJ140" i="3"/>
  <c r="AI140" i="3"/>
  <c r="AH140" i="3"/>
  <c r="AG140" i="3"/>
  <c r="AF140" i="3"/>
  <c r="BC139" i="3"/>
  <c r="BB139" i="3"/>
  <c r="BA139" i="3"/>
  <c r="AZ139" i="3"/>
  <c r="AY139" i="3"/>
  <c r="AX139" i="3"/>
  <c r="AW139" i="3"/>
  <c r="AV139" i="3"/>
  <c r="AU139" i="3"/>
  <c r="AT139" i="3"/>
  <c r="AS139" i="3"/>
  <c r="AR139" i="3"/>
  <c r="AQ139" i="3"/>
  <c r="AP139" i="3"/>
  <c r="AO139" i="3"/>
  <c r="AN139" i="3"/>
  <c r="AM139" i="3"/>
  <c r="AL139" i="3"/>
  <c r="AK139" i="3"/>
  <c r="AJ139" i="3"/>
  <c r="AI139" i="3"/>
  <c r="AH139" i="3"/>
  <c r="AG139" i="3"/>
  <c r="AF139" i="3"/>
  <c r="BC138" i="3"/>
  <c r="BB138" i="3"/>
  <c r="BA138" i="3"/>
  <c r="AZ138" i="3"/>
  <c r="AY138" i="3"/>
  <c r="AX138" i="3"/>
  <c r="AW138" i="3"/>
  <c r="AV138" i="3"/>
  <c r="AU138" i="3"/>
  <c r="AT138" i="3"/>
  <c r="AS138" i="3"/>
  <c r="AR138" i="3"/>
  <c r="AQ138" i="3"/>
  <c r="AP138" i="3"/>
  <c r="AO138" i="3"/>
  <c r="AN138" i="3"/>
  <c r="AM138" i="3"/>
  <c r="AL138" i="3"/>
  <c r="AK138" i="3"/>
  <c r="AJ138" i="3"/>
  <c r="AI138" i="3"/>
  <c r="AH138" i="3"/>
  <c r="AG138" i="3"/>
  <c r="AF138" i="3"/>
  <c r="BC137" i="3"/>
  <c r="BB137" i="3"/>
  <c r="BA137" i="3"/>
  <c r="AZ137" i="3"/>
  <c r="AY137" i="3"/>
  <c r="AX137" i="3"/>
  <c r="AW137" i="3"/>
  <c r="AV137" i="3"/>
  <c r="AU137" i="3"/>
  <c r="AT137" i="3"/>
  <c r="AS137" i="3"/>
  <c r="AR137" i="3"/>
  <c r="AQ137" i="3"/>
  <c r="AP137" i="3"/>
  <c r="AO137" i="3"/>
  <c r="AN137" i="3"/>
  <c r="AM137" i="3"/>
  <c r="AL137" i="3"/>
  <c r="AK137" i="3"/>
  <c r="AJ137" i="3"/>
  <c r="AI137" i="3"/>
  <c r="AH137" i="3"/>
  <c r="AG137" i="3"/>
  <c r="AF137" i="3"/>
  <c r="BC136" i="3"/>
  <c r="BB136" i="3"/>
  <c r="BA136" i="3"/>
  <c r="AZ136" i="3"/>
  <c r="AY136" i="3"/>
  <c r="AX136" i="3"/>
  <c r="AW136" i="3"/>
  <c r="AV136" i="3"/>
  <c r="AU136" i="3"/>
  <c r="AT136" i="3"/>
  <c r="AS136" i="3"/>
  <c r="AR136" i="3"/>
  <c r="AQ136" i="3"/>
  <c r="AP136" i="3"/>
  <c r="AO136" i="3"/>
  <c r="AN136" i="3"/>
  <c r="AM136" i="3"/>
  <c r="AL136" i="3"/>
  <c r="AK136" i="3"/>
  <c r="AJ136" i="3"/>
  <c r="AI136" i="3"/>
  <c r="AH136" i="3"/>
  <c r="AG136" i="3"/>
  <c r="AF136" i="3"/>
  <c r="BC135" i="3"/>
  <c r="BB135" i="3"/>
  <c r="BA135" i="3"/>
  <c r="AZ135" i="3"/>
  <c r="AY135" i="3"/>
  <c r="AX135" i="3"/>
  <c r="AW135" i="3"/>
  <c r="AV135" i="3"/>
  <c r="AU135" i="3"/>
  <c r="AT135" i="3"/>
  <c r="AS135" i="3"/>
  <c r="AR135" i="3"/>
  <c r="AQ135" i="3"/>
  <c r="AP135" i="3"/>
  <c r="AO135" i="3"/>
  <c r="AN135" i="3"/>
  <c r="AM135" i="3"/>
  <c r="AL135" i="3"/>
  <c r="AK135" i="3"/>
  <c r="AJ135" i="3"/>
  <c r="AI135" i="3"/>
  <c r="AH135" i="3"/>
  <c r="AG135" i="3"/>
  <c r="AF135" i="3"/>
  <c r="BC134" i="3"/>
  <c r="BB134" i="3"/>
  <c r="BA134" i="3"/>
  <c r="AZ134" i="3"/>
  <c r="AY134" i="3"/>
  <c r="AX134" i="3"/>
  <c r="AW134" i="3"/>
  <c r="AV134" i="3"/>
  <c r="AU134" i="3"/>
  <c r="AT134" i="3"/>
  <c r="AS134" i="3"/>
  <c r="AR134" i="3"/>
  <c r="AQ134" i="3"/>
  <c r="AP134" i="3"/>
  <c r="AO134" i="3"/>
  <c r="AN134" i="3"/>
  <c r="AM134" i="3"/>
  <c r="AL134" i="3"/>
  <c r="AK134" i="3"/>
  <c r="AJ134" i="3"/>
  <c r="AI134" i="3"/>
  <c r="AH134" i="3"/>
  <c r="AG134" i="3"/>
  <c r="AF134" i="3"/>
  <c r="BC133" i="3"/>
  <c r="BB133" i="3"/>
  <c r="BA133" i="3"/>
  <c r="AZ133" i="3"/>
  <c r="AY133" i="3"/>
  <c r="AX133" i="3"/>
  <c r="AW133" i="3"/>
  <c r="AV133" i="3"/>
  <c r="AU133" i="3"/>
  <c r="AT133" i="3"/>
  <c r="AS133" i="3"/>
  <c r="AR133" i="3"/>
  <c r="AQ133" i="3"/>
  <c r="AP133" i="3"/>
  <c r="AO133" i="3"/>
  <c r="AN133" i="3"/>
  <c r="AM133" i="3"/>
  <c r="AL133" i="3"/>
  <c r="AK133" i="3"/>
  <c r="AJ133" i="3"/>
  <c r="AI133" i="3"/>
  <c r="AH133" i="3"/>
  <c r="AG133" i="3"/>
  <c r="AF133" i="3"/>
  <c r="BC132" i="3"/>
  <c r="BB132" i="3"/>
  <c r="BA132" i="3"/>
  <c r="AZ132" i="3"/>
  <c r="AY132" i="3"/>
  <c r="AX132" i="3"/>
  <c r="AW132" i="3"/>
  <c r="AV132" i="3"/>
  <c r="AU132" i="3"/>
  <c r="AT132" i="3"/>
  <c r="AS132" i="3"/>
  <c r="AR132" i="3"/>
  <c r="AQ132" i="3"/>
  <c r="AP132" i="3"/>
  <c r="AO132" i="3"/>
  <c r="AN132" i="3"/>
  <c r="AM132" i="3"/>
  <c r="AL132" i="3"/>
  <c r="AK132" i="3"/>
  <c r="AJ132" i="3"/>
  <c r="AI132" i="3"/>
  <c r="AH132" i="3"/>
  <c r="AG132" i="3"/>
  <c r="AF132" i="3"/>
  <c r="BC131" i="3"/>
  <c r="BB131" i="3"/>
  <c r="BA131" i="3"/>
  <c r="AZ131" i="3"/>
  <c r="AY131" i="3"/>
  <c r="AX131" i="3"/>
  <c r="AW131" i="3"/>
  <c r="AV131" i="3"/>
  <c r="AU131" i="3"/>
  <c r="AT131" i="3"/>
  <c r="AS131" i="3"/>
  <c r="AR131" i="3"/>
  <c r="AQ131" i="3"/>
  <c r="AP131" i="3"/>
  <c r="AO131" i="3"/>
  <c r="AN131" i="3"/>
  <c r="AM131" i="3"/>
  <c r="AL131" i="3"/>
  <c r="AK131" i="3"/>
  <c r="AJ131" i="3"/>
  <c r="AI131" i="3"/>
  <c r="AH131" i="3"/>
  <c r="AG131" i="3"/>
  <c r="AF131" i="3"/>
  <c r="BC130" i="3"/>
  <c r="BB130" i="3"/>
  <c r="BA130" i="3"/>
  <c r="AZ130" i="3"/>
  <c r="AY130" i="3"/>
  <c r="AX130" i="3"/>
  <c r="AW130" i="3"/>
  <c r="AV130" i="3"/>
  <c r="AU130" i="3"/>
  <c r="AT130" i="3"/>
  <c r="AS130" i="3"/>
  <c r="AR130" i="3"/>
  <c r="AQ130" i="3"/>
  <c r="AP130" i="3"/>
  <c r="AO130" i="3"/>
  <c r="AN130" i="3"/>
  <c r="AM130" i="3"/>
  <c r="AL130" i="3"/>
  <c r="AK130" i="3"/>
  <c r="AJ130" i="3"/>
  <c r="AI130" i="3"/>
  <c r="AH130" i="3"/>
  <c r="AG130" i="3"/>
  <c r="AF130" i="3"/>
  <c r="BC129" i="3"/>
  <c r="BB129" i="3"/>
  <c r="BA129" i="3"/>
  <c r="AZ129" i="3"/>
  <c r="AY129" i="3"/>
  <c r="AX129" i="3"/>
  <c r="AW129" i="3"/>
  <c r="AV129" i="3"/>
  <c r="AU129" i="3"/>
  <c r="AT129" i="3"/>
  <c r="AS129" i="3"/>
  <c r="AR129" i="3"/>
  <c r="AQ129" i="3"/>
  <c r="AP129" i="3"/>
  <c r="AO129" i="3"/>
  <c r="AN129" i="3"/>
  <c r="AM129" i="3"/>
  <c r="AL129" i="3"/>
  <c r="AK129" i="3"/>
  <c r="AJ129" i="3"/>
  <c r="AI129" i="3"/>
  <c r="AH129" i="3"/>
  <c r="AG129" i="3"/>
  <c r="AF129" i="3"/>
  <c r="BC128" i="3"/>
  <c r="BB128" i="3"/>
  <c r="BA128" i="3"/>
  <c r="AZ128" i="3"/>
  <c r="AY128" i="3"/>
  <c r="AX128" i="3"/>
  <c r="AW128" i="3"/>
  <c r="AV128" i="3"/>
  <c r="AU128" i="3"/>
  <c r="AT128" i="3"/>
  <c r="AS128" i="3"/>
  <c r="AR128" i="3"/>
  <c r="AQ128" i="3"/>
  <c r="AP128" i="3"/>
  <c r="AO128" i="3"/>
  <c r="AN128" i="3"/>
  <c r="AM128" i="3"/>
  <c r="AL128" i="3"/>
  <c r="AK128" i="3"/>
  <c r="AJ128" i="3"/>
  <c r="AI128" i="3"/>
  <c r="AH128" i="3"/>
  <c r="AG128" i="3"/>
  <c r="AF128" i="3"/>
  <c r="BC127" i="3"/>
  <c r="BB127" i="3"/>
  <c r="BA127" i="3"/>
  <c r="AZ127" i="3"/>
  <c r="AY127" i="3"/>
  <c r="AX127" i="3"/>
  <c r="AW127" i="3"/>
  <c r="AV127" i="3"/>
  <c r="AU127" i="3"/>
  <c r="AT127" i="3"/>
  <c r="AS127" i="3"/>
  <c r="AR127" i="3"/>
  <c r="AQ127" i="3"/>
  <c r="AP127" i="3"/>
  <c r="AO127" i="3"/>
  <c r="AN127" i="3"/>
  <c r="AM127" i="3"/>
  <c r="AL127" i="3"/>
  <c r="AK127" i="3"/>
  <c r="AJ127" i="3"/>
  <c r="AI127" i="3"/>
  <c r="AH127" i="3"/>
  <c r="AG127" i="3"/>
  <c r="AF127" i="3"/>
  <c r="BC126" i="3"/>
  <c r="BB126" i="3"/>
  <c r="BA126" i="3"/>
  <c r="AZ126" i="3"/>
  <c r="AY126" i="3"/>
  <c r="AX126" i="3"/>
  <c r="AW126" i="3"/>
  <c r="AV126" i="3"/>
  <c r="AU126" i="3"/>
  <c r="AT126" i="3"/>
  <c r="AS126" i="3"/>
  <c r="AR126" i="3"/>
  <c r="AQ126" i="3"/>
  <c r="AP126" i="3"/>
  <c r="AO126" i="3"/>
  <c r="AN126" i="3"/>
  <c r="AM126" i="3"/>
  <c r="AL126" i="3"/>
  <c r="AK126" i="3"/>
  <c r="AJ126" i="3"/>
  <c r="AI126" i="3"/>
  <c r="AH126" i="3"/>
  <c r="AG126" i="3"/>
  <c r="AF126" i="3"/>
  <c r="BC125" i="3"/>
  <c r="BB125" i="3"/>
  <c r="BA125" i="3"/>
  <c r="AZ125" i="3"/>
  <c r="AY125" i="3"/>
  <c r="AX125" i="3"/>
  <c r="AW125" i="3"/>
  <c r="AV125" i="3"/>
  <c r="AU125" i="3"/>
  <c r="AT125" i="3"/>
  <c r="AS125" i="3"/>
  <c r="AR125" i="3"/>
  <c r="AQ125" i="3"/>
  <c r="AP125" i="3"/>
  <c r="AO125" i="3"/>
  <c r="AN125" i="3"/>
  <c r="AM125" i="3"/>
  <c r="AL125" i="3"/>
  <c r="AK125" i="3"/>
  <c r="AJ125" i="3"/>
  <c r="AI125" i="3"/>
  <c r="AH125" i="3"/>
  <c r="AG125" i="3"/>
  <c r="AF125" i="3"/>
  <c r="BC124" i="3"/>
  <c r="BB124" i="3"/>
  <c r="BA124" i="3"/>
  <c r="AZ124" i="3"/>
  <c r="AY124" i="3"/>
  <c r="AX124" i="3"/>
  <c r="AW124" i="3"/>
  <c r="AV124" i="3"/>
  <c r="AU124" i="3"/>
  <c r="AT124" i="3"/>
  <c r="AS124" i="3"/>
  <c r="AR124" i="3"/>
  <c r="AQ124" i="3"/>
  <c r="AP124" i="3"/>
  <c r="AO124" i="3"/>
  <c r="AN124" i="3"/>
  <c r="AM124" i="3"/>
  <c r="AL124" i="3"/>
  <c r="AK124" i="3"/>
  <c r="AJ124" i="3"/>
  <c r="AI124" i="3"/>
  <c r="AH124" i="3"/>
  <c r="AG124" i="3"/>
  <c r="AF124" i="3"/>
  <c r="BC123" i="3"/>
  <c r="BB123" i="3"/>
  <c r="BA123" i="3"/>
  <c r="AZ123" i="3"/>
  <c r="AY123" i="3"/>
  <c r="AX123" i="3"/>
  <c r="AW123" i="3"/>
  <c r="AV123" i="3"/>
  <c r="AU123" i="3"/>
  <c r="AT123" i="3"/>
  <c r="AS123" i="3"/>
  <c r="AR123" i="3"/>
  <c r="AQ123" i="3"/>
  <c r="AP123" i="3"/>
  <c r="AO123" i="3"/>
  <c r="AN123" i="3"/>
  <c r="AM123" i="3"/>
  <c r="AL123" i="3"/>
  <c r="AK123" i="3"/>
  <c r="AJ123" i="3"/>
  <c r="AI123" i="3"/>
  <c r="AH123" i="3"/>
  <c r="AG123" i="3"/>
  <c r="AF123" i="3"/>
  <c r="BC122" i="3"/>
  <c r="BB122" i="3"/>
  <c r="BA122" i="3"/>
  <c r="AZ122" i="3"/>
  <c r="AY122" i="3"/>
  <c r="AX122" i="3"/>
  <c r="AW122" i="3"/>
  <c r="AV122" i="3"/>
  <c r="AU122" i="3"/>
  <c r="AT122" i="3"/>
  <c r="AS122" i="3"/>
  <c r="AR122" i="3"/>
  <c r="AQ122" i="3"/>
  <c r="AP122" i="3"/>
  <c r="AO122" i="3"/>
  <c r="AN122" i="3"/>
  <c r="AM122" i="3"/>
  <c r="AL122" i="3"/>
  <c r="AK122" i="3"/>
  <c r="AJ122" i="3"/>
  <c r="AI122" i="3"/>
  <c r="AH122" i="3"/>
  <c r="AG122" i="3"/>
  <c r="AF122" i="3"/>
  <c r="BC121" i="3"/>
  <c r="BB121" i="3"/>
  <c r="BA121" i="3"/>
  <c r="AZ121" i="3"/>
  <c r="AY121" i="3"/>
  <c r="AX121" i="3"/>
  <c r="AW121" i="3"/>
  <c r="AV121" i="3"/>
  <c r="AU121" i="3"/>
  <c r="AT121" i="3"/>
  <c r="AS121" i="3"/>
  <c r="AR121" i="3"/>
  <c r="AQ121" i="3"/>
  <c r="AP121" i="3"/>
  <c r="AO121" i="3"/>
  <c r="AN121" i="3"/>
  <c r="AM121" i="3"/>
  <c r="AL121" i="3"/>
  <c r="AK121" i="3"/>
  <c r="AJ121" i="3"/>
  <c r="AI121" i="3"/>
  <c r="AH121" i="3"/>
  <c r="AG121" i="3"/>
  <c r="AF121" i="3"/>
  <c r="BC120" i="3"/>
  <c r="BB120" i="3"/>
  <c r="BA120" i="3"/>
  <c r="AZ120" i="3"/>
  <c r="AY120" i="3"/>
  <c r="AX120" i="3"/>
  <c r="AW120" i="3"/>
  <c r="AV120" i="3"/>
  <c r="AU120" i="3"/>
  <c r="AT120" i="3"/>
  <c r="AS120" i="3"/>
  <c r="AR120" i="3"/>
  <c r="AQ120" i="3"/>
  <c r="AP120" i="3"/>
  <c r="AO120" i="3"/>
  <c r="AN120" i="3"/>
  <c r="AM120" i="3"/>
  <c r="AL120" i="3"/>
  <c r="AK120" i="3"/>
  <c r="AJ120" i="3"/>
  <c r="AI120" i="3"/>
  <c r="AH120" i="3"/>
  <c r="AG120" i="3"/>
  <c r="AF120" i="3"/>
  <c r="BC119" i="3"/>
  <c r="BB119" i="3"/>
  <c r="BA119" i="3"/>
  <c r="AZ119" i="3"/>
  <c r="AY119" i="3"/>
  <c r="AX119" i="3"/>
  <c r="AW119" i="3"/>
  <c r="AV119" i="3"/>
  <c r="AU119" i="3"/>
  <c r="AT119" i="3"/>
  <c r="AS119" i="3"/>
  <c r="AR119" i="3"/>
  <c r="AQ119" i="3"/>
  <c r="AP119" i="3"/>
  <c r="AO119" i="3"/>
  <c r="AN119" i="3"/>
  <c r="AM119" i="3"/>
  <c r="AL119" i="3"/>
  <c r="AK119" i="3"/>
  <c r="AJ119" i="3"/>
  <c r="AI119" i="3"/>
  <c r="AH119" i="3"/>
  <c r="AG119" i="3"/>
  <c r="AF119" i="3"/>
  <c r="BC118" i="3"/>
  <c r="BB118" i="3"/>
  <c r="BA118" i="3"/>
  <c r="AZ118" i="3"/>
  <c r="AY118" i="3"/>
  <c r="AX118" i="3"/>
  <c r="AW118" i="3"/>
  <c r="AV118" i="3"/>
  <c r="AU118" i="3"/>
  <c r="AT118" i="3"/>
  <c r="AS118" i="3"/>
  <c r="AR118" i="3"/>
  <c r="AQ118" i="3"/>
  <c r="AP118" i="3"/>
  <c r="AO118" i="3"/>
  <c r="AN118" i="3"/>
  <c r="AM118" i="3"/>
  <c r="AL118" i="3"/>
  <c r="AK118" i="3"/>
  <c r="AJ118" i="3"/>
  <c r="AI118" i="3"/>
  <c r="AH118" i="3"/>
  <c r="AG118" i="3"/>
  <c r="AF118" i="3"/>
  <c r="BC117" i="3"/>
  <c r="BB117" i="3"/>
  <c r="BA117" i="3"/>
  <c r="AZ117" i="3"/>
  <c r="AY117" i="3"/>
  <c r="AX117" i="3"/>
  <c r="AW117" i="3"/>
  <c r="AV117" i="3"/>
  <c r="AU117" i="3"/>
  <c r="AT117" i="3"/>
  <c r="AS117" i="3"/>
  <c r="AR117" i="3"/>
  <c r="AQ117" i="3"/>
  <c r="AP117" i="3"/>
  <c r="AO117" i="3"/>
  <c r="AN117" i="3"/>
  <c r="AM117" i="3"/>
  <c r="AL117" i="3"/>
  <c r="AK117" i="3"/>
  <c r="AJ117" i="3"/>
  <c r="AI117" i="3"/>
  <c r="AH117" i="3"/>
  <c r="AG117" i="3"/>
  <c r="AF117" i="3"/>
  <c r="BC116" i="3"/>
  <c r="BB116" i="3"/>
  <c r="BA116" i="3"/>
  <c r="AZ116" i="3"/>
  <c r="AY116" i="3"/>
  <c r="AX116" i="3"/>
  <c r="AW116" i="3"/>
  <c r="AV116" i="3"/>
  <c r="AU116" i="3"/>
  <c r="AT116" i="3"/>
  <c r="AS116" i="3"/>
  <c r="AR116" i="3"/>
  <c r="AQ116" i="3"/>
  <c r="AP116" i="3"/>
  <c r="AO116" i="3"/>
  <c r="AN116" i="3"/>
  <c r="AM116" i="3"/>
  <c r="AL116" i="3"/>
  <c r="AK116" i="3"/>
  <c r="AJ116" i="3"/>
  <c r="AI116" i="3"/>
  <c r="AH116" i="3"/>
  <c r="AG116" i="3"/>
  <c r="AF116" i="3"/>
  <c r="BC115" i="3"/>
  <c r="BB115" i="3"/>
  <c r="BA115" i="3"/>
  <c r="AZ115" i="3"/>
  <c r="AY115" i="3"/>
  <c r="AX115" i="3"/>
  <c r="AW115" i="3"/>
  <c r="AV115" i="3"/>
  <c r="AU115" i="3"/>
  <c r="AT115" i="3"/>
  <c r="AS115" i="3"/>
  <c r="AR115" i="3"/>
  <c r="AQ115" i="3"/>
  <c r="AP115" i="3"/>
  <c r="AO115" i="3"/>
  <c r="AN115" i="3"/>
  <c r="AM115" i="3"/>
  <c r="AL115" i="3"/>
  <c r="AK115" i="3"/>
  <c r="AJ115" i="3"/>
  <c r="AI115" i="3"/>
  <c r="AH115" i="3"/>
  <c r="AG115" i="3"/>
  <c r="AF115" i="3"/>
  <c r="BC114" i="3"/>
  <c r="BB114" i="3"/>
  <c r="BA114" i="3"/>
  <c r="AZ114" i="3"/>
  <c r="AY114" i="3"/>
  <c r="AX114" i="3"/>
  <c r="AW114" i="3"/>
  <c r="AV114" i="3"/>
  <c r="AU114" i="3"/>
  <c r="AT114" i="3"/>
  <c r="AS114" i="3"/>
  <c r="AR114" i="3"/>
  <c r="AQ114" i="3"/>
  <c r="AP114" i="3"/>
  <c r="AO114" i="3"/>
  <c r="AN114" i="3"/>
  <c r="AM114" i="3"/>
  <c r="AL114" i="3"/>
  <c r="AK114" i="3"/>
  <c r="AJ114" i="3"/>
  <c r="AI114" i="3"/>
  <c r="AH114" i="3"/>
  <c r="AG114" i="3"/>
  <c r="AF114" i="3"/>
  <c r="BC113" i="3"/>
  <c r="BB113" i="3"/>
  <c r="BA113" i="3"/>
  <c r="AZ113" i="3"/>
  <c r="AY113" i="3"/>
  <c r="AX113" i="3"/>
  <c r="AW113" i="3"/>
  <c r="AV113" i="3"/>
  <c r="AU113" i="3"/>
  <c r="AT113" i="3"/>
  <c r="AS113" i="3"/>
  <c r="AR113" i="3"/>
  <c r="AQ113" i="3"/>
  <c r="AP113" i="3"/>
  <c r="AO113" i="3"/>
  <c r="AN113" i="3"/>
  <c r="AM113" i="3"/>
  <c r="AL113" i="3"/>
  <c r="AK113" i="3"/>
  <c r="AJ113" i="3"/>
  <c r="AI113" i="3"/>
  <c r="AH113" i="3"/>
  <c r="AG113" i="3"/>
  <c r="AF113" i="3"/>
  <c r="BC112" i="3"/>
  <c r="BB112" i="3"/>
  <c r="BA112" i="3"/>
  <c r="AZ112" i="3"/>
  <c r="AY112" i="3"/>
  <c r="AX112" i="3"/>
  <c r="AW112" i="3"/>
  <c r="AV112" i="3"/>
  <c r="AU112" i="3"/>
  <c r="AT112" i="3"/>
  <c r="AS112" i="3"/>
  <c r="AR112" i="3"/>
  <c r="AQ112" i="3"/>
  <c r="AP112" i="3"/>
  <c r="AO112" i="3"/>
  <c r="AN112" i="3"/>
  <c r="AM112" i="3"/>
  <c r="AL112" i="3"/>
  <c r="AK112" i="3"/>
  <c r="AJ112" i="3"/>
  <c r="AI112" i="3"/>
  <c r="AH112" i="3"/>
  <c r="AG112" i="3"/>
  <c r="AF112" i="3"/>
  <c r="BC111" i="3"/>
  <c r="BB111" i="3"/>
  <c r="BA111" i="3"/>
  <c r="AZ111" i="3"/>
  <c r="AY111" i="3"/>
  <c r="AX111" i="3"/>
  <c r="AW111" i="3"/>
  <c r="AV111" i="3"/>
  <c r="AU111" i="3"/>
  <c r="AT111" i="3"/>
  <c r="AS111" i="3"/>
  <c r="AR111" i="3"/>
  <c r="AQ111" i="3"/>
  <c r="AP111" i="3"/>
  <c r="AO111" i="3"/>
  <c r="AN111" i="3"/>
  <c r="AM111" i="3"/>
  <c r="AL111" i="3"/>
  <c r="AK111" i="3"/>
  <c r="AJ111" i="3"/>
  <c r="AI111" i="3"/>
  <c r="AH111" i="3"/>
  <c r="AG111" i="3"/>
  <c r="AF111" i="3"/>
  <c r="BC110" i="3"/>
  <c r="BB110" i="3"/>
  <c r="BA110" i="3"/>
  <c r="AZ110" i="3"/>
  <c r="AY110" i="3"/>
  <c r="AX110" i="3"/>
  <c r="AW110" i="3"/>
  <c r="AV110" i="3"/>
  <c r="AU110" i="3"/>
  <c r="AT110" i="3"/>
  <c r="AS110" i="3"/>
  <c r="AR110" i="3"/>
  <c r="AQ110" i="3"/>
  <c r="AP110" i="3"/>
  <c r="AO110" i="3"/>
  <c r="AN110" i="3"/>
  <c r="AM110" i="3"/>
  <c r="AL110" i="3"/>
  <c r="AK110" i="3"/>
  <c r="AJ110" i="3"/>
  <c r="AI110" i="3"/>
  <c r="AH110" i="3"/>
  <c r="AG110" i="3"/>
  <c r="AF110" i="3"/>
  <c r="BC109" i="3"/>
  <c r="BB109" i="3"/>
  <c r="BA109" i="3"/>
  <c r="AZ109" i="3"/>
  <c r="AY109" i="3"/>
  <c r="AX109" i="3"/>
  <c r="AW109" i="3"/>
  <c r="AV109" i="3"/>
  <c r="AU109" i="3"/>
  <c r="AT109" i="3"/>
  <c r="AS109" i="3"/>
  <c r="AR109" i="3"/>
  <c r="AQ109" i="3"/>
  <c r="AP109" i="3"/>
  <c r="AO109" i="3"/>
  <c r="AN109" i="3"/>
  <c r="AM109" i="3"/>
  <c r="AL109" i="3"/>
  <c r="AK109" i="3"/>
  <c r="AJ109" i="3"/>
  <c r="AI109" i="3"/>
  <c r="AH109" i="3"/>
  <c r="AG109" i="3"/>
  <c r="AF109" i="3"/>
  <c r="BC108" i="3"/>
  <c r="BB108" i="3"/>
  <c r="BA108" i="3"/>
  <c r="AZ108" i="3"/>
  <c r="AY108" i="3"/>
  <c r="AX108" i="3"/>
  <c r="AW108" i="3"/>
  <c r="AV108" i="3"/>
  <c r="AU108" i="3"/>
  <c r="AT108" i="3"/>
  <c r="AS108" i="3"/>
  <c r="AR108" i="3"/>
  <c r="AQ108" i="3"/>
  <c r="AP108" i="3"/>
  <c r="AO108" i="3"/>
  <c r="AN108" i="3"/>
  <c r="AM108" i="3"/>
  <c r="AL108" i="3"/>
  <c r="AK108" i="3"/>
  <c r="AJ108" i="3"/>
  <c r="AI108" i="3"/>
  <c r="AH108" i="3"/>
  <c r="AG108" i="3"/>
  <c r="AF108" i="3"/>
  <c r="BC107" i="3"/>
  <c r="BB107" i="3"/>
  <c r="BA107" i="3"/>
  <c r="AZ107" i="3"/>
  <c r="AY107" i="3"/>
  <c r="AX107" i="3"/>
  <c r="AW107" i="3"/>
  <c r="AV107" i="3"/>
  <c r="AU107" i="3"/>
  <c r="AT107" i="3"/>
  <c r="AS107" i="3"/>
  <c r="AR107" i="3"/>
  <c r="AQ107" i="3"/>
  <c r="AP107" i="3"/>
  <c r="AO107" i="3"/>
  <c r="AN107" i="3"/>
  <c r="AM107" i="3"/>
  <c r="AL107" i="3"/>
  <c r="AK107" i="3"/>
  <c r="AJ107" i="3"/>
  <c r="AI107" i="3"/>
  <c r="AH107" i="3"/>
  <c r="AG107" i="3"/>
  <c r="AF107" i="3"/>
  <c r="BC106" i="3"/>
  <c r="BB106" i="3"/>
  <c r="BA106" i="3"/>
  <c r="AZ106" i="3"/>
  <c r="AY106" i="3"/>
  <c r="AX106" i="3"/>
  <c r="AW106" i="3"/>
  <c r="AV106" i="3"/>
  <c r="AU106" i="3"/>
  <c r="AT106" i="3"/>
  <c r="AS106" i="3"/>
  <c r="AR106" i="3"/>
  <c r="AQ106" i="3"/>
  <c r="AP106" i="3"/>
  <c r="AO106" i="3"/>
  <c r="AN106" i="3"/>
  <c r="AM106" i="3"/>
  <c r="AL106" i="3"/>
  <c r="AK106" i="3"/>
  <c r="AJ106" i="3"/>
  <c r="AI106" i="3"/>
  <c r="AH106" i="3"/>
  <c r="AG106" i="3"/>
  <c r="AF106" i="3"/>
  <c r="BC105" i="3"/>
  <c r="BB105" i="3"/>
  <c r="BA105" i="3"/>
  <c r="AZ105" i="3"/>
  <c r="AY105" i="3"/>
  <c r="AX105" i="3"/>
  <c r="AW105" i="3"/>
  <c r="AV105" i="3"/>
  <c r="AU105" i="3"/>
  <c r="AT105" i="3"/>
  <c r="AS105" i="3"/>
  <c r="AR105" i="3"/>
  <c r="AQ105" i="3"/>
  <c r="AP105" i="3"/>
  <c r="AO105" i="3"/>
  <c r="AN105" i="3"/>
  <c r="AM105" i="3"/>
  <c r="AL105" i="3"/>
  <c r="AK105" i="3"/>
  <c r="AJ105" i="3"/>
  <c r="AI105" i="3"/>
  <c r="AH105" i="3"/>
  <c r="AG105" i="3"/>
  <c r="AF105" i="3"/>
  <c r="BC104" i="3"/>
  <c r="BB104" i="3"/>
  <c r="BA104" i="3"/>
  <c r="AZ104" i="3"/>
  <c r="AY104" i="3"/>
  <c r="AX104" i="3"/>
  <c r="AW104" i="3"/>
  <c r="AV104" i="3"/>
  <c r="AU104" i="3"/>
  <c r="AT104" i="3"/>
  <c r="AS104" i="3"/>
  <c r="AR104" i="3"/>
  <c r="AQ104" i="3"/>
  <c r="AP104" i="3"/>
  <c r="AO104" i="3"/>
  <c r="AN104" i="3"/>
  <c r="AM104" i="3"/>
  <c r="AL104" i="3"/>
  <c r="AK104" i="3"/>
  <c r="AJ104" i="3"/>
  <c r="AI104" i="3"/>
  <c r="AH104" i="3"/>
  <c r="AG104" i="3"/>
  <c r="AF104" i="3"/>
  <c r="BC103" i="3"/>
  <c r="BB103" i="3"/>
  <c r="BA103" i="3"/>
  <c r="AZ103" i="3"/>
  <c r="AY103" i="3"/>
  <c r="AX103" i="3"/>
  <c r="AW103" i="3"/>
  <c r="AV103" i="3"/>
  <c r="AU103" i="3"/>
  <c r="AT103" i="3"/>
  <c r="AS103" i="3"/>
  <c r="AR103" i="3"/>
  <c r="AQ103" i="3"/>
  <c r="AP103" i="3"/>
  <c r="AO103" i="3"/>
  <c r="AN103" i="3"/>
  <c r="AM103" i="3"/>
  <c r="AL103" i="3"/>
  <c r="AK103" i="3"/>
  <c r="AJ103" i="3"/>
  <c r="AI103" i="3"/>
  <c r="AH103" i="3"/>
  <c r="AG103" i="3"/>
  <c r="AF103" i="3"/>
  <c r="BC102" i="3"/>
  <c r="BB102" i="3"/>
  <c r="BA102" i="3"/>
  <c r="AZ102" i="3"/>
  <c r="AY102" i="3"/>
  <c r="AX102" i="3"/>
  <c r="AW102" i="3"/>
  <c r="AV102" i="3"/>
  <c r="AU102" i="3"/>
  <c r="AT102" i="3"/>
  <c r="AS102" i="3"/>
  <c r="AR102" i="3"/>
  <c r="AQ102" i="3"/>
  <c r="AP102" i="3"/>
  <c r="AO102" i="3"/>
  <c r="AN102" i="3"/>
  <c r="AM102" i="3"/>
  <c r="AL102" i="3"/>
  <c r="AK102" i="3"/>
  <c r="AJ102" i="3"/>
  <c r="AI102" i="3"/>
  <c r="AH102" i="3"/>
  <c r="AG102" i="3"/>
  <c r="AF102" i="3"/>
  <c r="BC101" i="3"/>
  <c r="BB101" i="3"/>
  <c r="BA101" i="3"/>
  <c r="AZ101" i="3"/>
  <c r="AY101" i="3"/>
  <c r="AX101" i="3"/>
  <c r="AW101" i="3"/>
  <c r="AV101" i="3"/>
  <c r="AU101" i="3"/>
  <c r="AT101" i="3"/>
  <c r="AS101" i="3"/>
  <c r="AR101" i="3"/>
  <c r="AQ101" i="3"/>
  <c r="AP101" i="3"/>
  <c r="AO101" i="3"/>
  <c r="AN101" i="3"/>
  <c r="AM101" i="3"/>
  <c r="AL101" i="3"/>
  <c r="AK101" i="3"/>
  <c r="AJ101" i="3"/>
  <c r="AI101" i="3"/>
  <c r="AH101" i="3"/>
  <c r="AG101" i="3"/>
  <c r="AF101" i="3"/>
  <c r="BC100" i="3"/>
  <c r="BB100" i="3"/>
  <c r="BA100" i="3"/>
  <c r="AZ100" i="3"/>
  <c r="AY100" i="3"/>
  <c r="AX100" i="3"/>
  <c r="AW100" i="3"/>
  <c r="AV100" i="3"/>
  <c r="AU100" i="3"/>
  <c r="AT100" i="3"/>
  <c r="AS100" i="3"/>
  <c r="AR100" i="3"/>
  <c r="AQ100" i="3"/>
  <c r="AP100" i="3"/>
  <c r="AO100" i="3"/>
  <c r="AN100" i="3"/>
  <c r="AM100" i="3"/>
  <c r="AL100" i="3"/>
  <c r="AK100" i="3"/>
  <c r="AJ100" i="3"/>
  <c r="AI100" i="3"/>
  <c r="AH100" i="3"/>
  <c r="AG100" i="3"/>
  <c r="AF100" i="3"/>
  <c r="BC99" i="3"/>
  <c r="BB99" i="3"/>
  <c r="BA99" i="3"/>
  <c r="AZ99" i="3"/>
  <c r="AY99" i="3"/>
  <c r="AX99" i="3"/>
  <c r="AW99" i="3"/>
  <c r="AV99" i="3"/>
  <c r="AU99" i="3"/>
  <c r="AT99" i="3"/>
  <c r="AS99" i="3"/>
  <c r="AR99" i="3"/>
  <c r="AQ99" i="3"/>
  <c r="AP99" i="3"/>
  <c r="AO99" i="3"/>
  <c r="AN99" i="3"/>
  <c r="AM99" i="3"/>
  <c r="AL99" i="3"/>
  <c r="AK99" i="3"/>
  <c r="AJ99" i="3"/>
  <c r="AI99" i="3"/>
  <c r="AH99" i="3"/>
  <c r="AG99" i="3"/>
  <c r="AF99" i="3"/>
  <c r="BC98" i="3"/>
  <c r="BB98" i="3"/>
  <c r="BA98" i="3"/>
  <c r="AZ98" i="3"/>
  <c r="AY98" i="3"/>
  <c r="AX98" i="3"/>
  <c r="AW98" i="3"/>
  <c r="AV98" i="3"/>
  <c r="AU98" i="3"/>
  <c r="AT98" i="3"/>
  <c r="AS98" i="3"/>
  <c r="AR98" i="3"/>
  <c r="AQ98" i="3"/>
  <c r="AP98" i="3"/>
  <c r="AO98" i="3"/>
  <c r="AN98" i="3"/>
  <c r="AM98" i="3"/>
  <c r="AL98" i="3"/>
  <c r="AK98" i="3"/>
  <c r="AJ98" i="3"/>
  <c r="AI98" i="3"/>
  <c r="AH98" i="3"/>
  <c r="AG98" i="3"/>
  <c r="AF98" i="3"/>
  <c r="BC97" i="3"/>
  <c r="BB97" i="3"/>
  <c r="BA97" i="3"/>
  <c r="AZ97" i="3"/>
  <c r="AY97" i="3"/>
  <c r="AX97" i="3"/>
  <c r="AW97" i="3"/>
  <c r="AV97" i="3"/>
  <c r="AU97" i="3"/>
  <c r="AT97" i="3"/>
  <c r="AS97" i="3"/>
  <c r="AR97" i="3"/>
  <c r="AQ97" i="3"/>
  <c r="AP97" i="3"/>
  <c r="AO97" i="3"/>
  <c r="AN97" i="3"/>
  <c r="AM97" i="3"/>
  <c r="AL97" i="3"/>
  <c r="AK97" i="3"/>
  <c r="AJ97" i="3"/>
  <c r="AI97" i="3"/>
  <c r="AH97" i="3"/>
  <c r="AG97" i="3"/>
  <c r="AF97" i="3"/>
  <c r="BC96" i="3"/>
  <c r="BB96" i="3"/>
  <c r="BA96" i="3"/>
  <c r="AZ96" i="3"/>
  <c r="AY96" i="3"/>
  <c r="AX96" i="3"/>
  <c r="AW96" i="3"/>
  <c r="AV96" i="3"/>
  <c r="AU96" i="3"/>
  <c r="AT96" i="3"/>
  <c r="AS96" i="3"/>
  <c r="AR96" i="3"/>
  <c r="AQ96" i="3"/>
  <c r="AP96" i="3"/>
  <c r="AO96" i="3"/>
  <c r="AN96" i="3"/>
  <c r="AM96" i="3"/>
  <c r="AL96" i="3"/>
  <c r="AK96" i="3"/>
  <c r="AJ96" i="3"/>
  <c r="AI96" i="3"/>
  <c r="AH96" i="3"/>
  <c r="AG96" i="3"/>
  <c r="AF96" i="3"/>
  <c r="BC95" i="3"/>
  <c r="BB95" i="3"/>
  <c r="BA95" i="3"/>
  <c r="AZ95" i="3"/>
  <c r="AY95" i="3"/>
  <c r="AX95" i="3"/>
  <c r="AW95" i="3"/>
  <c r="AV95" i="3"/>
  <c r="AU95" i="3"/>
  <c r="AT95" i="3"/>
  <c r="AS95" i="3"/>
  <c r="AR95" i="3"/>
  <c r="AQ95" i="3"/>
  <c r="AP95" i="3"/>
  <c r="AO95" i="3"/>
  <c r="AN95" i="3"/>
  <c r="AM95" i="3"/>
  <c r="AL95" i="3"/>
  <c r="AK95" i="3"/>
  <c r="AJ95" i="3"/>
  <c r="AI95" i="3"/>
  <c r="AH95" i="3"/>
  <c r="AG95" i="3"/>
  <c r="AF95" i="3"/>
  <c r="BC94" i="3"/>
  <c r="BB94" i="3"/>
  <c r="BA94" i="3"/>
  <c r="AZ94" i="3"/>
  <c r="AY94" i="3"/>
  <c r="AX94" i="3"/>
  <c r="AW94" i="3"/>
  <c r="AV94" i="3"/>
  <c r="AU94" i="3"/>
  <c r="AT94" i="3"/>
  <c r="AS94" i="3"/>
  <c r="AR94" i="3"/>
  <c r="AQ94" i="3"/>
  <c r="AP94" i="3"/>
  <c r="AO94" i="3"/>
  <c r="AN94" i="3"/>
  <c r="AM94" i="3"/>
  <c r="AL94" i="3"/>
  <c r="AK94" i="3"/>
  <c r="AJ94" i="3"/>
  <c r="AI94" i="3"/>
  <c r="AH94" i="3"/>
  <c r="AG94" i="3"/>
  <c r="AF94" i="3"/>
  <c r="BC93" i="3"/>
  <c r="BB93" i="3"/>
  <c r="BA93" i="3"/>
  <c r="AZ93" i="3"/>
  <c r="AY93" i="3"/>
  <c r="AX93" i="3"/>
  <c r="AW93" i="3"/>
  <c r="AV93" i="3"/>
  <c r="AU93" i="3"/>
  <c r="AT93" i="3"/>
  <c r="AS93" i="3"/>
  <c r="AR93" i="3"/>
  <c r="AQ93" i="3"/>
  <c r="AP93" i="3"/>
  <c r="AO93" i="3"/>
  <c r="AN93" i="3"/>
  <c r="AM93" i="3"/>
  <c r="AL93" i="3"/>
  <c r="AK93" i="3"/>
  <c r="AJ93" i="3"/>
  <c r="AI93" i="3"/>
  <c r="AH93" i="3"/>
  <c r="AG93" i="3"/>
  <c r="AF93" i="3"/>
  <c r="BC92" i="3"/>
  <c r="BB92" i="3"/>
  <c r="BA92" i="3"/>
  <c r="AZ92" i="3"/>
  <c r="AY92" i="3"/>
  <c r="AX92" i="3"/>
  <c r="AW92" i="3"/>
  <c r="AV92" i="3"/>
  <c r="AU92" i="3"/>
  <c r="AT92" i="3"/>
  <c r="AS92" i="3"/>
  <c r="AR92" i="3"/>
  <c r="AQ92" i="3"/>
  <c r="AP92" i="3"/>
  <c r="AO92" i="3"/>
  <c r="AN92" i="3"/>
  <c r="AM92" i="3"/>
  <c r="AL92" i="3"/>
  <c r="AK92" i="3"/>
  <c r="AJ92" i="3"/>
  <c r="AI92" i="3"/>
  <c r="AH92" i="3"/>
  <c r="AG92" i="3"/>
  <c r="AF92" i="3"/>
  <c r="BC91" i="3"/>
  <c r="BB91" i="3"/>
  <c r="BA91" i="3"/>
  <c r="AZ91" i="3"/>
  <c r="AY91" i="3"/>
  <c r="AX91" i="3"/>
  <c r="AW91" i="3"/>
  <c r="AV91" i="3"/>
  <c r="AU91" i="3"/>
  <c r="AT91" i="3"/>
  <c r="AS91" i="3"/>
  <c r="AR91" i="3"/>
  <c r="AQ91" i="3"/>
  <c r="AP91" i="3"/>
  <c r="AO91" i="3"/>
  <c r="AN91" i="3"/>
  <c r="AM91" i="3"/>
  <c r="AL91" i="3"/>
  <c r="AK91" i="3"/>
  <c r="AJ91" i="3"/>
  <c r="AI91" i="3"/>
  <c r="AH91" i="3"/>
  <c r="AG91" i="3"/>
  <c r="AF91" i="3"/>
  <c r="BC90" i="3"/>
  <c r="BB90" i="3"/>
  <c r="BA90" i="3"/>
  <c r="AZ90" i="3"/>
  <c r="AY90" i="3"/>
  <c r="AX90" i="3"/>
  <c r="AW90" i="3"/>
  <c r="AV90" i="3"/>
  <c r="AU90" i="3"/>
  <c r="AT90" i="3"/>
  <c r="AS90" i="3"/>
  <c r="AR90" i="3"/>
  <c r="AQ90" i="3"/>
  <c r="AP90" i="3"/>
  <c r="AO90" i="3"/>
  <c r="AN90" i="3"/>
  <c r="AM90" i="3"/>
  <c r="AL90" i="3"/>
  <c r="AK90" i="3"/>
  <c r="AJ90" i="3"/>
  <c r="AI90" i="3"/>
  <c r="AH90" i="3"/>
  <c r="AG90" i="3"/>
  <c r="AF90" i="3"/>
  <c r="BC89" i="3"/>
  <c r="BB89" i="3"/>
  <c r="BA89" i="3"/>
  <c r="AZ89" i="3"/>
  <c r="AY89" i="3"/>
  <c r="AX89" i="3"/>
  <c r="AW89" i="3"/>
  <c r="AV89" i="3"/>
  <c r="AU89" i="3"/>
  <c r="AT89" i="3"/>
  <c r="AS89" i="3"/>
  <c r="AR89" i="3"/>
  <c r="AQ89" i="3"/>
  <c r="AP89" i="3"/>
  <c r="AO89" i="3"/>
  <c r="AN89" i="3"/>
  <c r="AM89" i="3"/>
  <c r="AL89" i="3"/>
  <c r="AK89" i="3"/>
  <c r="AJ89" i="3"/>
  <c r="AI89" i="3"/>
  <c r="AH89" i="3"/>
  <c r="AG89" i="3"/>
  <c r="AF89" i="3"/>
  <c r="BC88" i="3"/>
  <c r="BB88" i="3"/>
  <c r="BA88" i="3"/>
  <c r="AZ88" i="3"/>
  <c r="AY88" i="3"/>
  <c r="AX88" i="3"/>
  <c r="AW88" i="3"/>
  <c r="AV88" i="3"/>
  <c r="AU88" i="3"/>
  <c r="AT88" i="3"/>
  <c r="AS88" i="3"/>
  <c r="AR88" i="3"/>
  <c r="AQ88" i="3"/>
  <c r="AP88" i="3"/>
  <c r="AO88" i="3"/>
  <c r="AN88" i="3"/>
  <c r="AM88" i="3"/>
  <c r="AL88" i="3"/>
  <c r="AK88" i="3"/>
  <c r="AJ88" i="3"/>
  <c r="AI88" i="3"/>
  <c r="AH88" i="3"/>
  <c r="AG88" i="3"/>
  <c r="AF88" i="3"/>
  <c r="BC87" i="3"/>
  <c r="BB87" i="3"/>
  <c r="BA87" i="3"/>
  <c r="AZ87" i="3"/>
  <c r="AY87" i="3"/>
  <c r="AX87" i="3"/>
  <c r="AW87" i="3"/>
  <c r="AV87" i="3"/>
  <c r="AU87" i="3"/>
  <c r="AT87" i="3"/>
  <c r="AS87" i="3"/>
  <c r="AR87" i="3"/>
  <c r="AQ87" i="3"/>
  <c r="AP87" i="3"/>
  <c r="AO87" i="3"/>
  <c r="AN87" i="3"/>
  <c r="AM87" i="3"/>
  <c r="AL87" i="3"/>
  <c r="AK87" i="3"/>
  <c r="AJ87" i="3"/>
  <c r="AI87" i="3"/>
  <c r="AH87" i="3"/>
  <c r="AG87" i="3"/>
  <c r="AF87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AG86" i="3"/>
  <c r="AF86" i="3"/>
  <c r="BC85" i="3"/>
  <c r="BB85" i="3"/>
  <c r="BA85" i="3"/>
  <c r="AZ85" i="3"/>
  <c r="AY85" i="3"/>
  <c r="AX85" i="3"/>
  <c r="AW85" i="3"/>
  <c r="AV85" i="3"/>
  <c r="AU85" i="3"/>
  <c r="AT85" i="3"/>
  <c r="AS85" i="3"/>
  <c r="AR85" i="3"/>
  <c r="AQ85" i="3"/>
  <c r="AP85" i="3"/>
  <c r="AO85" i="3"/>
  <c r="AN85" i="3"/>
  <c r="AM85" i="3"/>
  <c r="AL85" i="3"/>
  <c r="AK85" i="3"/>
  <c r="AJ85" i="3"/>
  <c r="AI85" i="3"/>
  <c r="AH85" i="3"/>
  <c r="AG85" i="3"/>
  <c r="AF85" i="3"/>
  <c r="BC84" i="3"/>
  <c r="BB84" i="3"/>
  <c r="BA84" i="3"/>
  <c r="AZ84" i="3"/>
  <c r="AY84" i="3"/>
  <c r="AX84" i="3"/>
  <c r="AW84" i="3"/>
  <c r="AV84" i="3"/>
  <c r="AU84" i="3"/>
  <c r="AT84" i="3"/>
  <c r="AS84" i="3"/>
  <c r="AR84" i="3"/>
  <c r="AQ84" i="3"/>
  <c r="AP84" i="3"/>
  <c r="AO84" i="3"/>
  <c r="AN84" i="3"/>
  <c r="AM84" i="3"/>
  <c r="AL84" i="3"/>
  <c r="AK84" i="3"/>
  <c r="AJ84" i="3"/>
  <c r="AI84" i="3"/>
  <c r="AH84" i="3"/>
  <c r="AG84" i="3"/>
  <c r="AF84" i="3"/>
  <c r="BC83" i="3"/>
  <c r="BB83" i="3"/>
  <c r="BA83" i="3"/>
  <c r="AZ83" i="3"/>
  <c r="AY83" i="3"/>
  <c r="AX83" i="3"/>
  <c r="AW83" i="3"/>
  <c r="AV83" i="3"/>
  <c r="AU83" i="3"/>
  <c r="AT83" i="3"/>
  <c r="AS83" i="3"/>
  <c r="AR83" i="3"/>
  <c r="AQ83" i="3"/>
  <c r="AP83" i="3"/>
  <c r="AO83" i="3"/>
  <c r="AN83" i="3"/>
  <c r="AM83" i="3"/>
  <c r="AL83" i="3"/>
  <c r="AK83" i="3"/>
  <c r="AJ83" i="3"/>
  <c r="AI83" i="3"/>
  <c r="AH83" i="3"/>
  <c r="AG83" i="3"/>
  <c r="AF83" i="3"/>
  <c r="BC82" i="3"/>
  <c r="BB82" i="3"/>
  <c r="BA82" i="3"/>
  <c r="AZ82" i="3"/>
  <c r="AY82" i="3"/>
  <c r="AX82" i="3"/>
  <c r="AW82" i="3"/>
  <c r="AV82" i="3"/>
  <c r="AU82" i="3"/>
  <c r="AT82" i="3"/>
  <c r="AS82" i="3"/>
  <c r="AR82" i="3"/>
  <c r="AQ82" i="3"/>
  <c r="AP82" i="3"/>
  <c r="AO82" i="3"/>
  <c r="AN82" i="3"/>
  <c r="AM82" i="3"/>
  <c r="AL82" i="3"/>
  <c r="AK82" i="3"/>
  <c r="AJ82" i="3"/>
  <c r="AI82" i="3"/>
  <c r="AH82" i="3"/>
  <c r="AG82" i="3"/>
  <c r="AF82" i="3"/>
  <c r="BC81" i="3"/>
  <c r="BB81" i="3"/>
  <c r="BA81" i="3"/>
  <c r="AZ81" i="3"/>
  <c r="AY81" i="3"/>
  <c r="AX81" i="3"/>
  <c r="AW81" i="3"/>
  <c r="AV81" i="3"/>
  <c r="AU81" i="3"/>
  <c r="AT81" i="3"/>
  <c r="AS81" i="3"/>
  <c r="AR81" i="3"/>
  <c r="AQ81" i="3"/>
  <c r="AP81" i="3"/>
  <c r="AO81" i="3"/>
  <c r="AN81" i="3"/>
  <c r="AM81" i="3"/>
  <c r="AL81" i="3"/>
  <c r="AK81" i="3"/>
  <c r="AJ81" i="3"/>
  <c r="AI81" i="3"/>
  <c r="AH81" i="3"/>
  <c r="AG81" i="3"/>
  <c r="AF81" i="3"/>
  <c r="BC80" i="3"/>
  <c r="BB80" i="3"/>
  <c r="BA80" i="3"/>
  <c r="AZ80" i="3"/>
  <c r="AY80" i="3"/>
  <c r="AX80" i="3"/>
  <c r="AW80" i="3"/>
  <c r="AV80" i="3"/>
  <c r="AU80" i="3"/>
  <c r="AT80" i="3"/>
  <c r="AS80" i="3"/>
  <c r="AR80" i="3"/>
  <c r="AQ80" i="3"/>
  <c r="AP80" i="3"/>
  <c r="AO80" i="3"/>
  <c r="AN80" i="3"/>
  <c r="AM80" i="3"/>
  <c r="AL80" i="3"/>
  <c r="AK80" i="3"/>
  <c r="AJ80" i="3"/>
  <c r="AI80" i="3"/>
  <c r="AH80" i="3"/>
  <c r="AG80" i="3"/>
  <c r="AF80" i="3"/>
  <c r="BC79" i="3"/>
  <c r="BB79" i="3"/>
  <c r="BA79" i="3"/>
  <c r="AZ79" i="3"/>
  <c r="AY79" i="3"/>
  <c r="AX79" i="3"/>
  <c r="AW79" i="3"/>
  <c r="AV79" i="3"/>
  <c r="AU79" i="3"/>
  <c r="AT79" i="3"/>
  <c r="AS79" i="3"/>
  <c r="AR79" i="3"/>
  <c r="AQ79" i="3"/>
  <c r="AP79" i="3"/>
  <c r="AO79" i="3"/>
  <c r="AN79" i="3"/>
  <c r="AM79" i="3"/>
  <c r="AL79" i="3"/>
  <c r="AK79" i="3"/>
  <c r="AJ79" i="3"/>
  <c r="AI79" i="3"/>
  <c r="AH79" i="3"/>
  <c r="AG79" i="3"/>
  <c r="AF79" i="3"/>
  <c r="BC78" i="3"/>
  <c r="BB78" i="3"/>
  <c r="BA78" i="3"/>
  <c r="AZ78" i="3"/>
  <c r="AY78" i="3"/>
  <c r="AX78" i="3"/>
  <c r="AW78" i="3"/>
  <c r="AV78" i="3"/>
  <c r="AU78" i="3"/>
  <c r="AT78" i="3"/>
  <c r="AS78" i="3"/>
  <c r="AR78" i="3"/>
  <c r="AQ78" i="3"/>
  <c r="AP78" i="3"/>
  <c r="AO78" i="3"/>
  <c r="AN78" i="3"/>
  <c r="AM78" i="3"/>
  <c r="AL78" i="3"/>
  <c r="AK78" i="3"/>
  <c r="AJ78" i="3"/>
  <c r="AI78" i="3"/>
  <c r="AH78" i="3"/>
  <c r="AG78" i="3"/>
  <c r="AF78" i="3"/>
  <c r="BC77" i="3"/>
  <c r="BB77" i="3"/>
  <c r="BA77" i="3"/>
  <c r="AZ77" i="3"/>
  <c r="AY77" i="3"/>
  <c r="AX77" i="3"/>
  <c r="AW77" i="3"/>
  <c r="AV77" i="3"/>
  <c r="AU77" i="3"/>
  <c r="AT77" i="3"/>
  <c r="AS77" i="3"/>
  <c r="AR77" i="3"/>
  <c r="AQ77" i="3"/>
  <c r="AP77" i="3"/>
  <c r="AO77" i="3"/>
  <c r="AN77" i="3"/>
  <c r="AM77" i="3"/>
  <c r="AL77" i="3"/>
  <c r="AK77" i="3"/>
  <c r="AJ77" i="3"/>
  <c r="AI77" i="3"/>
  <c r="AH77" i="3"/>
  <c r="AG77" i="3"/>
  <c r="AF77" i="3"/>
  <c r="BC76" i="3"/>
  <c r="BB76" i="3"/>
  <c r="BA76" i="3"/>
  <c r="AZ76" i="3"/>
  <c r="AY76" i="3"/>
  <c r="AX76" i="3"/>
  <c r="AW76" i="3"/>
  <c r="AV76" i="3"/>
  <c r="AU76" i="3"/>
  <c r="AT76" i="3"/>
  <c r="AS76" i="3"/>
  <c r="AR76" i="3"/>
  <c r="AQ76" i="3"/>
  <c r="AP76" i="3"/>
  <c r="AO76" i="3"/>
  <c r="AN76" i="3"/>
  <c r="AM76" i="3"/>
  <c r="AL76" i="3"/>
  <c r="AK76" i="3"/>
  <c r="AJ76" i="3"/>
  <c r="AI76" i="3"/>
  <c r="AH76" i="3"/>
  <c r="AG76" i="3"/>
  <c r="AF76" i="3"/>
  <c r="BC75" i="3"/>
  <c r="BB75" i="3"/>
  <c r="BA75" i="3"/>
  <c r="AZ75" i="3"/>
  <c r="AY75" i="3"/>
  <c r="AX75" i="3"/>
  <c r="AW75" i="3"/>
  <c r="AV75" i="3"/>
  <c r="AU75" i="3"/>
  <c r="AT75" i="3"/>
  <c r="AS75" i="3"/>
  <c r="AR75" i="3"/>
  <c r="AQ75" i="3"/>
  <c r="AP75" i="3"/>
  <c r="AO75" i="3"/>
  <c r="AN75" i="3"/>
  <c r="AM75" i="3"/>
  <c r="AL75" i="3"/>
  <c r="AK75" i="3"/>
  <c r="AJ75" i="3"/>
  <c r="AI75" i="3"/>
  <c r="AH75" i="3"/>
  <c r="AG75" i="3"/>
  <c r="AF75" i="3"/>
  <c r="BC74" i="3"/>
  <c r="BB74" i="3"/>
  <c r="BA74" i="3"/>
  <c r="AZ74" i="3"/>
  <c r="AY74" i="3"/>
  <c r="AX74" i="3"/>
  <c r="AW74" i="3"/>
  <c r="AV74" i="3"/>
  <c r="AU74" i="3"/>
  <c r="AT74" i="3"/>
  <c r="AS74" i="3"/>
  <c r="AR74" i="3"/>
  <c r="AQ74" i="3"/>
  <c r="AP74" i="3"/>
  <c r="AO74" i="3"/>
  <c r="AN74" i="3"/>
  <c r="AM74" i="3"/>
  <c r="AL74" i="3"/>
  <c r="AK74" i="3"/>
  <c r="AJ74" i="3"/>
  <c r="AI74" i="3"/>
  <c r="AH74" i="3"/>
  <c r="AG74" i="3"/>
  <c r="AF74" i="3"/>
  <c r="BC73" i="3"/>
  <c r="BB73" i="3"/>
  <c r="BA73" i="3"/>
  <c r="AZ73" i="3"/>
  <c r="AY73" i="3"/>
  <c r="AX73" i="3"/>
  <c r="AW73" i="3"/>
  <c r="AV73" i="3"/>
  <c r="AU73" i="3"/>
  <c r="AT73" i="3"/>
  <c r="AS73" i="3"/>
  <c r="AR73" i="3"/>
  <c r="AQ73" i="3"/>
  <c r="AP73" i="3"/>
  <c r="AO73" i="3"/>
  <c r="AN73" i="3"/>
  <c r="AM73" i="3"/>
  <c r="AL73" i="3"/>
  <c r="AK73" i="3"/>
  <c r="AJ73" i="3"/>
  <c r="AI73" i="3"/>
  <c r="AH73" i="3"/>
  <c r="AG73" i="3"/>
  <c r="AF73" i="3"/>
  <c r="BC72" i="3"/>
  <c r="BB72" i="3"/>
  <c r="BA72" i="3"/>
  <c r="AZ72" i="3"/>
  <c r="AY72" i="3"/>
  <c r="AX72" i="3"/>
  <c r="AW72" i="3"/>
  <c r="AV72" i="3"/>
  <c r="AU72" i="3"/>
  <c r="AT72" i="3"/>
  <c r="AS72" i="3"/>
  <c r="AR72" i="3"/>
  <c r="AQ72" i="3"/>
  <c r="AP72" i="3"/>
  <c r="AO72" i="3"/>
  <c r="AN72" i="3"/>
  <c r="AM72" i="3"/>
  <c r="AL72" i="3"/>
  <c r="AK72" i="3"/>
  <c r="AJ72" i="3"/>
  <c r="AI72" i="3"/>
  <c r="AH72" i="3"/>
  <c r="AG72" i="3"/>
  <c r="AF72" i="3"/>
  <c r="BC71" i="3"/>
  <c r="BB71" i="3"/>
  <c r="BA71" i="3"/>
  <c r="AZ71" i="3"/>
  <c r="AY71" i="3"/>
  <c r="AX71" i="3"/>
  <c r="AW71" i="3"/>
  <c r="AV71" i="3"/>
  <c r="AU71" i="3"/>
  <c r="AT71" i="3"/>
  <c r="AS71" i="3"/>
  <c r="AR71" i="3"/>
  <c r="AQ71" i="3"/>
  <c r="AP71" i="3"/>
  <c r="AO71" i="3"/>
  <c r="AN71" i="3"/>
  <c r="AM71" i="3"/>
  <c r="AL71" i="3"/>
  <c r="AK71" i="3"/>
  <c r="AJ71" i="3"/>
  <c r="AI71" i="3"/>
  <c r="AH71" i="3"/>
  <c r="AG71" i="3"/>
  <c r="AF71" i="3"/>
  <c r="BC70" i="3"/>
  <c r="BB70" i="3"/>
  <c r="BA70" i="3"/>
  <c r="AZ70" i="3"/>
  <c r="AY70" i="3"/>
  <c r="AX70" i="3"/>
  <c r="AW70" i="3"/>
  <c r="AV70" i="3"/>
  <c r="AU70" i="3"/>
  <c r="AT70" i="3"/>
  <c r="AS70" i="3"/>
  <c r="AR70" i="3"/>
  <c r="AQ70" i="3"/>
  <c r="AP70" i="3"/>
  <c r="AO70" i="3"/>
  <c r="AN70" i="3"/>
  <c r="AM70" i="3"/>
  <c r="AL70" i="3"/>
  <c r="AK70" i="3"/>
  <c r="AJ70" i="3"/>
  <c r="AI70" i="3"/>
  <c r="AH70" i="3"/>
  <c r="AG70" i="3"/>
  <c r="AF70" i="3"/>
  <c r="BC69" i="3"/>
  <c r="BB69" i="3"/>
  <c r="BA69" i="3"/>
  <c r="AZ69" i="3"/>
  <c r="AY69" i="3"/>
  <c r="AX69" i="3"/>
  <c r="AW69" i="3"/>
  <c r="AV69" i="3"/>
  <c r="AU69" i="3"/>
  <c r="AT69" i="3"/>
  <c r="AS69" i="3"/>
  <c r="AR69" i="3"/>
  <c r="AQ69" i="3"/>
  <c r="AP69" i="3"/>
  <c r="AO69" i="3"/>
  <c r="AN69" i="3"/>
  <c r="AM69" i="3"/>
  <c r="AL69" i="3"/>
  <c r="AK69" i="3"/>
  <c r="AJ69" i="3"/>
  <c r="AI69" i="3"/>
  <c r="AH69" i="3"/>
  <c r="AG69" i="3"/>
  <c r="AF69" i="3"/>
  <c r="BC68" i="3"/>
  <c r="BB68" i="3"/>
  <c r="BA68" i="3"/>
  <c r="AZ68" i="3"/>
  <c r="AY68" i="3"/>
  <c r="AX68" i="3"/>
  <c r="AW68" i="3"/>
  <c r="AV68" i="3"/>
  <c r="AU68" i="3"/>
  <c r="AT68" i="3"/>
  <c r="AS68" i="3"/>
  <c r="AR68" i="3"/>
  <c r="AQ68" i="3"/>
  <c r="AP68" i="3"/>
  <c r="AO68" i="3"/>
  <c r="AN68" i="3"/>
  <c r="AM68" i="3"/>
  <c r="AL68" i="3"/>
  <c r="AK68" i="3"/>
  <c r="AJ68" i="3"/>
  <c r="AI68" i="3"/>
  <c r="AH68" i="3"/>
  <c r="AG68" i="3"/>
  <c r="AF68" i="3"/>
  <c r="BC67" i="3"/>
  <c r="BB67" i="3"/>
  <c r="BA67" i="3"/>
  <c r="AZ67" i="3"/>
  <c r="AY67" i="3"/>
  <c r="AX67" i="3"/>
  <c r="AW67" i="3"/>
  <c r="AV67" i="3"/>
  <c r="AU67" i="3"/>
  <c r="AT67" i="3"/>
  <c r="AS67" i="3"/>
  <c r="AR67" i="3"/>
  <c r="AQ67" i="3"/>
  <c r="AP67" i="3"/>
  <c r="AO67" i="3"/>
  <c r="AN67" i="3"/>
  <c r="AM67" i="3"/>
  <c r="AL67" i="3"/>
  <c r="AK67" i="3"/>
  <c r="AJ67" i="3"/>
  <c r="AI67" i="3"/>
  <c r="AH67" i="3"/>
  <c r="AG67" i="3"/>
  <c r="AF67" i="3"/>
  <c r="BC66" i="3"/>
  <c r="BB66" i="3"/>
  <c r="BA66" i="3"/>
  <c r="AZ66" i="3"/>
  <c r="AY66" i="3"/>
  <c r="AX66" i="3"/>
  <c r="AW66" i="3"/>
  <c r="AV66" i="3"/>
  <c r="AU66" i="3"/>
  <c r="AT66" i="3"/>
  <c r="AS66" i="3"/>
  <c r="AR66" i="3"/>
  <c r="AQ66" i="3"/>
  <c r="AP66" i="3"/>
  <c r="AO66" i="3"/>
  <c r="AN66" i="3"/>
  <c r="AM66" i="3"/>
  <c r="AL66" i="3"/>
  <c r="AK66" i="3"/>
  <c r="AJ66" i="3"/>
  <c r="AI66" i="3"/>
  <c r="AH66" i="3"/>
  <c r="AG66" i="3"/>
  <c r="AF66" i="3"/>
  <c r="BC65" i="3"/>
  <c r="BB65" i="3"/>
  <c r="BA65" i="3"/>
  <c r="AZ65" i="3"/>
  <c r="AY65" i="3"/>
  <c r="AX65" i="3"/>
  <c r="AW65" i="3"/>
  <c r="AV65" i="3"/>
  <c r="AU65" i="3"/>
  <c r="AT65" i="3"/>
  <c r="AS65" i="3"/>
  <c r="AR65" i="3"/>
  <c r="AQ65" i="3"/>
  <c r="AP65" i="3"/>
  <c r="AO65" i="3"/>
  <c r="AN65" i="3"/>
  <c r="AM65" i="3"/>
  <c r="AL65" i="3"/>
  <c r="AK65" i="3"/>
  <c r="AJ65" i="3"/>
  <c r="AI65" i="3"/>
  <c r="AH65" i="3"/>
  <c r="AG65" i="3"/>
  <c r="AF65" i="3"/>
  <c r="BC64" i="3"/>
  <c r="BB64" i="3"/>
  <c r="BA64" i="3"/>
  <c r="AZ64" i="3"/>
  <c r="AY64" i="3"/>
  <c r="AX64" i="3"/>
  <c r="AW64" i="3"/>
  <c r="AV64" i="3"/>
  <c r="AU64" i="3"/>
  <c r="AT64" i="3"/>
  <c r="AS64" i="3"/>
  <c r="AR64" i="3"/>
  <c r="AQ64" i="3"/>
  <c r="AP64" i="3"/>
  <c r="AO64" i="3"/>
  <c r="AN64" i="3"/>
  <c r="AM64" i="3"/>
  <c r="AL64" i="3"/>
  <c r="AK64" i="3"/>
  <c r="AJ64" i="3"/>
  <c r="AI64" i="3"/>
  <c r="AH64" i="3"/>
  <c r="AG64" i="3"/>
  <c r="AF64" i="3"/>
  <c r="BC63" i="3"/>
  <c r="BB63" i="3"/>
  <c r="BA63" i="3"/>
  <c r="AZ63" i="3"/>
  <c r="AY63" i="3"/>
  <c r="AX63" i="3"/>
  <c r="AW63" i="3"/>
  <c r="AV63" i="3"/>
  <c r="AU63" i="3"/>
  <c r="AT63" i="3"/>
  <c r="AS63" i="3"/>
  <c r="AR63" i="3"/>
  <c r="AQ63" i="3"/>
  <c r="AP63" i="3"/>
  <c r="AO63" i="3"/>
  <c r="AN63" i="3"/>
  <c r="AM63" i="3"/>
  <c r="AL63" i="3"/>
  <c r="AK63" i="3"/>
  <c r="AJ63" i="3"/>
  <c r="AI63" i="3"/>
  <c r="AH63" i="3"/>
  <c r="AG63" i="3"/>
  <c r="AF63" i="3"/>
  <c r="BC62" i="3"/>
  <c r="BB62" i="3"/>
  <c r="BA62" i="3"/>
  <c r="AZ62" i="3"/>
  <c r="AY62" i="3"/>
  <c r="AX62" i="3"/>
  <c r="AW62" i="3"/>
  <c r="AV62" i="3"/>
  <c r="AU62" i="3"/>
  <c r="AT62" i="3"/>
  <c r="AS62" i="3"/>
  <c r="AR62" i="3"/>
  <c r="AQ62" i="3"/>
  <c r="AP62" i="3"/>
  <c r="AO62" i="3"/>
  <c r="AN62" i="3"/>
  <c r="AM62" i="3"/>
  <c r="AL62" i="3"/>
  <c r="AK62" i="3"/>
  <c r="AJ62" i="3"/>
  <c r="AI62" i="3"/>
  <c r="AH62" i="3"/>
  <c r="AG62" i="3"/>
  <c r="AF62" i="3"/>
  <c r="BC61" i="3"/>
  <c r="BB61" i="3"/>
  <c r="BA61" i="3"/>
  <c r="AZ61" i="3"/>
  <c r="AY61" i="3"/>
  <c r="AX61" i="3"/>
  <c r="AW61" i="3"/>
  <c r="AV61" i="3"/>
  <c r="AU61" i="3"/>
  <c r="AT61" i="3"/>
  <c r="AS61" i="3"/>
  <c r="AR61" i="3"/>
  <c r="AQ61" i="3"/>
  <c r="AP61" i="3"/>
  <c r="AO61" i="3"/>
  <c r="AN61" i="3"/>
  <c r="AM61" i="3"/>
  <c r="AL61" i="3"/>
  <c r="AK61" i="3"/>
  <c r="AJ61" i="3"/>
  <c r="AI61" i="3"/>
  <c r="AH61" i="3"/>
  <c r="AG61" i="3"/>
  <c r="AF61" i="3"/>
  <c r="BC60" i="3"/>
  <c r="BB60" i="3"/>
  <c r="BA60" i="3"/>
  <c r="AZ60" i="3"/>
  <c r="AY60" i="3"/>
  <c r="AX60" i="3"/>
  <c r="AW60" i="3"/>
  <c r="AV60" i="3"/>
  <c r="AU60" i="3"/>
  <c r="AT60" i="3"/>
  <c r="AS60" i="3"/>
  <c r="AR60" i="3"/>
  <c r="AQ60" i="3"/>
  <c r="AP60" i="3"/>
  <c r="AO60" i="3"/>
  <c r="AN60" i="3"/>
  <c r="AM60" i="3"/>
  <c r="AL60" i="3"/>
  <c r="AK60" i="3"/>
  <c r="AJ60" i="3"/>
  <c r="AI60" i="3"/>
  <c r="AH60" i="3"/>
  <c r="AG60" i="3"/>
  <c r="AF60" i="3"/>
  <c r="BC59" i="3"/>
  <c r="BB59" i="3"/>
  <c r="BA59" i="3"/>
  <c r="AZ59" i="3"/>
  <c r="AY59" i="3"/>
  <c r="AX59" i="3"/>
  <c r="AW59" i="3"/>
  <c r="AV59" i="3"/>
  <c r="AU59" i="3"/>
  <c r="AT59" i="3"/>
  <c r="AS59" i="3"/>
  <c r="AR59" i="3"/>
  <c r="AQ59" i="3"/>
  <c r="AP59" i="3"/>
  <c r="AO59" i="3"/>
  <c r="AN59" i="3"/>
  <c r="AM59" i="3"/>
  <c r="AL59" i="3"/>
  <c r="AK59" i="3"/>
  <c r="AJ59" i="3"/>
  <c r="AI59" i="3"/>
  <c r="AH59" i="3"/>
  <c r="AG59" i="3"/>
  <c r="AF59" i="3"/>
  <c r="BC58" i="3"/>
  <c r="BB58" i="3"/>
  <c r="BA58" i="3"/>
  <c r="AZ58" i="3"/>
  <c r="AY58" i="3"/>
  <c r="AX58" i="3"/>
  <c r="AW58" i="3"/>
  <c r="AV58" i="3"/>
  <c r="AU58" i="3"/>
  <c r="AT58" i="3"/>
  <c r="AS58" i="3"/>
  <c r="AR58" i="3"/>
  <c r="AQ58" i="3"/>
  <c r="AP58" i="3"/>
  <c r="AO58" i="3"/>
  <c r="AN58" i="3"/>
  <c r="AM58" i="3"/>
  <c r="AL58" i="3"/>
  <c r="AK58" i="3"/>
  <c r="AJ58" i="3"/>
  <c r="AI58" i="3"/>
  <c r="AH58" i="3"/>
  <c r="AG58" i="3"/>
  <c r="AF58" i="3"/>
  <c r="BC57" i="3"/>
  <c r="BB57" i="3"/>
  <c r="BA57" i="3"/>
  <c r="AZ57" i="3"/>
  <c r="AY57" i="3"/>
  <c r="AX57" i="3"/>
  <c r="AW57" i="3"/>
  <c r="AV57" i="3"/>
  <c r="AU57" i="3"/>
  <c r="AT57" i="3"/>
  <c r="AS57" i="3"/>
  <c r="AR57" i="3"/>
  <c r="AQ57" i="3"/>
  <c r="AP57" i="3"/>
  <c r="AO57" i="3"/>
  <c r="AN57" i="3"/>
  <c r="AM57" i="3"/>
  <c r="AL57" i="3"/>
  <c r="AK57" i="3"/>
  <c r="AJ57" i="3"/>
  <c r="AI57" i="3"/>
  <c r="AH57" i="3"/>
  <c r="AG57" i="3"/>
  <c r="AF57" i="3"/>
  <c r="BC56" i="3"/>
  <c r="BB56" i="3"/>
  <c r="BA56" i="3"/>
  <c r="AZ56" i="3"/>
  <c r="AY56" i="3"/>
  <c r="AX56" i="3"/>
  <c r="AW56" i="3"/>
  <c r="AV56" i="3"/>
  <c r="AU56" i="3"/>
  <c r="AT56" i="3"/>
  <c r="AS56" i="3"/>
  <c r="AR56" i="3"/>
  <c r="AQ56" i="3"/>
  <c r="AP56" i="3"/>
  <c r="AO56" i="3"/>
  <c r="AN56" i="3"/>
  <c r="AM56" i="3"/>
  <c r="AL56" i="3"/>
  <c r="AK56" i="3"/>
  <c r="AJ56" i="3"/>
  <c r="AI56" i="3"/>
  <c r="AH56" i="3"/>
  <c r="AG56" i="3"/>
  <c r="AF56" i="3"/>
  <c r="BC55" i="3"/>
  <c r="BB55" i="3"/>
  <c r="BA55" i="3"/>
  <c r="AZ55" i="3"/>
  <c r="AY55" i="3"/>
  <c r="AX55" i="3"/>
  <c r="AW55" i="3"/>
  <c r="AV55" i="3"/>
  <c r="AU55" i="3"/>
  <c r="AT55" i="3"/>
  <c r="AS55" i="3"/>
  <c r="AR55" i="3"/>
  <c r="AQ55" i="3"/>
  <c r="AP55" i="3"/>
  <c r="AO55" i="3"/>
  <c r="AN55" i="3"/>
  <c r="AM55" i="3"/>
  <c r="AL55" i="3"/>
  <c r="AK55" i="3"/>
  <c r="AJ55" i="3"/>
  <c r="AI55" i="3"/>
  <c r="AH55" i="3"/>
  <c r="AG55" i="3"/>
  <c r="AF55" i="3"/>
  <c r="BC54" i="3"/>
  <c r="BB54" i="3"/>
  <c r="BA54" i="3"/>
  <c r="AZ54" i="3"/>
  <c r="AY54" i="3"/>
  <c r="AX54" i="3"/>
  <c r="AW54" i="3"/>
  <c r="AV54" i="3"/>
  <c r="AU54" i="3"/>
  <c r="AT54" i="3"/>
  <c r="AS54" i="3"/>
  <c r="AR54" i="3"/>
  <c r="AQ54" i="3"/>
  <c r="AP54" i="3"/>
  <c r="AO54" i="3"/>
  <c r="AN54" i="3"/>
  <c r="AM54" i="3"/>
  <c r="AL54" i="3"/>
  <c r="AK54" i="3"/>
  <c r="AJ54" i="3"/>
  <c r="AI54" i="3"/>
  <c r="AH54" i="3"/>
  <c r="AG54" i="3"/>
  <c r="AF54" i="3"/>
  <c r="BC53" i="3"/>
  <c r="BB53" i="3"/>
  <c r="BA53" i="3"/>
  <c r="AZ53" i="3"/>
  <c r="AY53" i="3"/>
  <c r="AX53" i="3"/>
  <c r="AW53" i="3"/>
  <c r="AV53" i="3"/>
  <c r="AU53" i="3"/>
  <c r="AT53" i="3"/>
  <c r="AS53" i="3"/>
  <c r="AR53" i="3"/>
  <c r="AQ53" i="3"/>
  <c r="AP53" i="3"/>
  <c r="AO53" i="3"/>
  <c r="AN53" i="3"/>
  <c r="AM53" i="3"/>
  <c r="AL53" i="3"/>
  <c r="AK53" i="3"/>
  <c r="AJ53" i="3"/>
  <c r="AI53" i="3"/>
  <c r="AH53" i="3"/>
  <c r="AG53" i="3"/>
  <c r="AF53" i="3"/>
  <c r="BC52" i="3"/>
  <c r="BB52" i="3"/>
  <c r="BA52" i="3"/>
  <c r="AZ52" i="3"/>
  <c r="AY52" i="3"/>
  <c r="AX52" i="3"/>
  <c r="AW52" i="3"/>
  <c r="AV52" i="3"/>
  <c r="AU52" i="3"/>
  <c r="AT52" i="3"/>
  <c r="AS52" i="3"/>
  <c r="AR52" i="3"/>
  <c r="AQ52" i="3"/>
  <c r="AP52" i="3"/>
  <c r="AO52" i="3"/>
  <c r="AN52" i="3"/>
  <c r="AM52" i="3"/>
  <c r="AL52" i="3"/>
  <c r="AK52" i="3"/>
  <c r="AJ52" i="3"/>
  <c r="AI52" i="3"/>
  <c r="AH52" i="3"/>
  <c r="AG52" i="3"/>
  <c r="AF52" i="3"/>
  <c r="BC51" i="3"/>
  <c r="BB51" i="3"/>
  <c r="BA51" i="3"/>
  <c r="AZ51" i="3"/>
  <c r="AY51" i="3"/>
  <c r="AX51" i="3"/>
  <c r="AW51" i="3"/>
  <c r="AV51" i="3"/>
  <c r="AU51" i="3"/>
  <c r="AT51" i="3"/>
  <c r="AS51" i="3"/>
  <c r="AR51" i="3"/>
  <c r="AQ51" i="3"/>
  <c r="AP51" i="3"/>
  <c r="AO51" i="3"/>
  <c r="AN51" i="3"/>
  <c r="AM51" i="3"/>
  <c r="AL51" i="3"/>
  <c r="AK51" i="3"/>
  <c r="AJ51" i="3"/>
  <c r="AI51" i="3"/>
  <c r="AH51" i="3"/>
  <c r="AG51" i="3"/>
  <c r="AF51" i="3"/>
  <c r="BC50" i="3"/>
  <c r="BB50" i="3"/>
  <c r="BA50" i="3"/>
  <c r="AZ50" i="3"/>
  <c r="AY50" i="3"/>
  <c r="AX50" i="3"/>
  <c r="AW50" i="3"/>
  <c r="AV50" i="3"/>
  <c r="AU50" i="3"/>
  <c r="AT50" i="3"/>
  <c r="AS50" i="3"/>
  <c r="AR50" i="3"/>
  <c r="AQ50" i="3"/>
  <c r="AP50" i="3"/>
  <c r="AO50" i="3"/>
  <c r="AN50" i="3"/>
  <c r="AM50" i="3"/>
  <c r="AL50" i="3"/>
  <c r="AK50" i="3"/>
  <c r="AJ50" i="3"/>
  <c r="AI50" i="3"/>
  <c r="AH50" i="3"/>
  <c r="AG50" i="3"/>
  <c r="AF50" i="3"/>
  <c r="BC49" i="3"/>
  <c r="BB49" i="3"/>
  <c r="BA49" i="3"/>
  <c r="AZ49" i="3"/>
  <c r="AY49" i="3"/>
  <c r="AX49" i="3"/>
  <c r="AW49" i="3"/>
  <c r="AV49" i="3"/>
  <c r="AU49" i="3"/>
  <c r="AT49" i="3"/>
  <c r="AS49" i="3"/>
  <c r="AR49" i="3"/>
  <c r="AQ49" i="3"/>
  <c r="AP49" i="3"/>
  <c r="AO49" i="3"/>
  <c r="AN49" i="3"/>
  <c r="AM49" i="3"/>
  <c r="AL49" i="3"/>
  <c r="AK49" i="3"/>
  <c r="AJ49" i="3"/>
  <c r="AI49" i="3"/>
  <c r="AH49" i="3"/>
  <c r="AG49" i="3"/>
  <c r="AF49" i="3"/>
  <c r="BC48" i="3"/>
  <c r="BB48" i="3"/>
  <c r="BA48" i="3"/>
  <c r="AZ48" i="3"/>
  <c r="AY48" i="3"/>
  <c r="AX48" i="3"/>
  <c r="AW48" i="3"/>
  <c r="AV48" i="3"/>
  <c r="AU48" i="3"/>
  <c r="AT48" i="3"/>
  <c r="AS48" i="3"/>
  <c r="AR48" i="3"/>
  <c r="AQ48" i="3"/>
  <c r="AP48" i="3"/>
  <c r="AO48" i="3"/>
  <c r="AN48" i="3"/>
  <c r="AM48" i="3"/>
  <c r="AL48" i="3"/>
  <c r="AK48" i="3"/>
  <c r="AJ48" i="3"/>
  <c r="AI48" i="3"/>
  <c r="AH48" i="3"/>
  <c r="AG48" i="3"/>
  <c r="AF48" i="3"/>
  <c r="BC47" i="3"/>
  <c r="BB47" i="3"/>
  <c r="BA47" i="3"/>
  <c r="AZ47" i="3"/>
  <c r="AY47" i="3"/>
  <c r="AX47" i="3"/>
  <c r="AW47" i="3"/>
  <c r="AV47" i="3"/>
  <c r="AU47" i="3"/>
  <c r="AT47" i="3"/>
  <c r="AS47" i="3"/>
  <c r="AR47" i="3"/>
  <c r="AQ47" i="3"/>
  <c r="AP47" i="3"/>
  <c r="AO47" i="3"/>
  <c r="AN47" i="3"/>
  <c r="AM47" i="3"/>
  <c r="AL47" i="3"/>
  <c r="AK47" i="3"/>
  <c r="AJ47" i="3"/>
  <c r="AI47" i="3"/>
  <c r="AH47" i="3"/>
  <c r="AG47" i="3"/>
  <c r="AF47" i="3"/>
  <c r="BC46" i="3"/>
  <c r="BB46" i="3"/>
  <c r="BA46" i="3"/>
  <c r="AZ46" i="3"/>
  <c r="AY46" i="3"/>
  <c r="AX46" i="3"/>
  <c r="AW46" i="3"/>
  <c r="AV46" i="3"/>
  <c r="AU46" i="3"/>
  <c r="AT46" i="3"/>
  <c r="AS46" i="3"/>
  <c r="AR46" i="3"/>
  <c r="AQ46" i="3"/>
  <c r="AP46" i="3"/>
  <c r="AO46" i="3"/>
  <c r="AN46" i="3"/>
  <c r="AM46" i="3"/>
  <c r="AL46" i="3"/>
  <c r="AK46" i="3"/>
  <c r="AJ46" i="3"/>
  <c r="AI46" i="3"/>
  <c r="AH46" i="3"/>
  <c r="AG46" i="3"/>
  <c r="AF46" i="3"/>
  <c r="BC45" i="3"/>
  <c r="BB45" i="3"/>
  <c r="BA45" i="3"/>
  <c r="AZ45" i="3"/>
  <c r="AY45" i="3"/>
  <c r="AX45" i="3"/>
  <c r="AW45" i="3"/>
  <c r="AV45" i="3"/>
  <c r="AU45" i="3"/>
  <c r="AT45" i="3"/>
  <c r="AS45" i="3"/>
  <c r="AR45" i="3"/>
  <c r="AQ45" i="3"/>
  <c r="AP45" i="3"/>
  <c r="AO45" i="3"/>
  <c r="AN45" i="3"/>
  <c r="AM45" i="3"/>
  <c r="AL45" i="3"/>
  <c r="AK45" i="3"/>
  <c r="AJ45" i="3"/>
  <c r="AI45" i="3"/>
  <c r="AH45" i="3"/>
  <c r="AG45" i="3"/>
  <c r="AF45" i="3"/>
  <c r="BC44" i="3"/>
  <c r="BB44" i="3"/>
  <c r="BA44" i="3"/>
  <c r="AZ44" i="3"/>
  <c r="AY44" i="3"/>
  <c r="AX44" i="3"/>
  <c r="AW44" i="3"/>
  <c r="AV44" i="3"/>
  <c r="AU44" i="3"/>
  <c r="AT44" i="3"/>
  <c r="AS44" i="3"/>
  <c r="AR44" i="3"/>
  <c r="AQ44" i="3"/>
  <c r="AP44" i="3"/>
  <c r="AO44" i="3"/>
  <c r="AN44" i="3"/>
  <c r="AM44" i="3"/>
  <c r="AL44" i="3"/>
  <c r="AK44" i="3"/>
  <c r="AJ44" i="3"/>
  <c r="AI44" i="3"/>
  <c r="AH44" i="3"/>
  <c r="AG44" i="3"/>
  <c r="AF44" i="3"/>
  <c r="BC43" i="3"/>
  <c r="BB43" i="3"/>
  <c r="BA43" i="3"/>
  <c r="AZ43" i="3"/>
  <c r="AY43" i="3"/>
  <c r="AX43" i="3"/>
  <c r="AW43" i="3"/>
  <c r="AV43" i="3"/>
  <c r="AU43" i="3"/>
  <c r="AT43" i="3"/>
  <c r="AS43" i="3"/>
  <c r="AR43" i="3"/>
  <c r="AQ43" i="3"/>
  <c r="AP43" i="3"/>
  <c r="AO43" i="3"/>
  <c r="AN43" i="3"/>
  <c r="AM43" i="3"/>
  <c r="AL43" i="3"/>
  <c r="AK43" i="3"/>
  <c r="AJ43" i="3"/>
  <c r="AI43" i="3"/>
  <c r="AH43" i="3"/>
  <c r="AG43" i="3"/>
  <c r="AF43" i="3"/>
  <c r="BC42" i="3"/>
  <c r="BB42" i="3"/>
  <c r="BA42" i="3"/>
  <c r="AZ42" i="3"/>
  <c r="AY42" i="3"/>
  <c r="AX42" i="3"/>
  <c r="AW42" i="3"/>
  <c r="AV42" i="3"/>
  <c r="AU42" i="3"/>
  <c r="AT42" i="3"/>
  <c r="AS42" i="3"/>
  <c r="AR42" i="3"/>
  <c r="AQ42" i="3"/>
  <c r="AP42" i="3"/>
  <c r="AO42" i="3"/>
  <c r="AN42" i="3"/>
  <c r="AM42" i="3"/>
  <c r="AL42" i="3"/>
  <c r="AK42" i="3"/>
  <c r="AJ42" i="3"/>
  <c r="AI42" i="3"/>
  <c r="AH42" i="3"/>
  <c r="AG42" i="3"/>
  <c r="AF42" i="3"/>
  <c r="BC41" i="3"/>
  <c r="BB41" i="3"/>
  <c r="BA41" i="3"/>
  <c r="AZ41" i="3"/>
  <c r="AY41" i="3"/>
  <c r="AX41" i="3"/>
  <c r="AW41" i="3"/>
  <c r="AV41" i="3"/>
  <c r="AU41" i="3"/>
  <c r="AT41" i="3"/>
  <c r="AS41" i="3"/>
  <c r="AR41" i="3"/>
  <c r="AQ41" i="3"/>
  <c r="AP41" i="3"/>
  <c r="AO41" i="3"/>
  <c r="AN41" i="3"/>
  <c r="AM41" i="3"/>
  <c r="AL41" i="3"/>
  <c r="AK41" i="3"/>
  <c r="AJ41" i="3"/>
  <c r="AI41" i="3"/>
  <c r="AH41" i="3"/>
  <c r="AG41" i="3"/>
  <c r="AF41" i="3"/>
  <c r="BC40" i="3"/>
  <c r="BB40" i="3"/>
  <c r="BA40" i="3"/>
  <c r="AZ40" i="3"/>
  <c r="AY40" i="3"/>
  <c r="AX40" i="3"/>
  <c r="AW40" i="3"/>
  <c r="AV40" i="3"/>
  <c r="AU40" i="3"/>
  <c r="AT40" i="3"/>
  <c r="AS40" i="3"/>
  <c r="AR40" i="3"/>
  <c r="AQ40" i="3"/>
  <c r="AP40" i="3"/>
  <c r="AO40" i="3"/>
  <c r="AN40" i="3"/>
  <c r="AM40" i="3"/>
  <c r="AL40" i="3"/>
  <c r="AK40" i="3"/>
  <c r="AJ40" i="3"/>
  <c r="AI40" i="3"/>
  <c r="AH40" i="3"/>
  <c r="AG40" i="3"/>
  <c r="AF40" i="3"/>
  <c r="BC39" i="3"/>
  <c r="BB39" i="3"/>
  <c r="BA39" i="3"/>
  <c r="AZ39" i="3"/>
  <c r="AY39" i="3"/>
  <c r="AX39" i="3"/>
  <c r="AW39" i="3"/>
  <c r="AV39" i="3"/>
  <c r="AU39" i="3"/>
  <c r="AT39" i="3"/>
  <c r="AS39" i="3"/>
  <c r="AR39" i="3"/>
  <c r="AQ39" i="3"/>
  <c r="AP39" i="3"/>
  <c r="AO39" i="3"/>
  <c r="AN39" i="3"/>
  <c r="AM39" i="3"/>
  <c r="AL39" i="3"/>
  <c r="AK39" i="3"/>
  <c r="AJ39" i="3"/>
  <c r="AI39" i="3"/>
  <c r="AH39" i="3"/>
  <c r="AG39" i="3"/>
  <c r="AF39" i="3"/>
  <c r="BC38" i="3"/>
  <c r="BB38" i="3"/>
  <c r="BA38" i="3"/>
  <c r="AZ38" i="3"/>
  <c r="AY38" i="3"/>
  <c r="AX38" i="3"/>
  <c r="AW38" i="3"/>
  <c r="AV38" i="3"/>
  <c r="AU38" i="3"/>
  <c r="AT38" i="3"/>
  <c r="AS38" i="3"/>
  <c r="AR38" i="3"/>
  <c r="AQ38" i="3"/>
  <c r="AP38" i="3"/>
  <c r="AO38" i="3"/>
  <c r="AN38" i="3"/>
  <c r="AM38" i="3"/>
  <c r="AL38" i="3"/>
  <c r="AK38" i="3"/>
  <c r="AJ38" i="3"/>
  <c r="AI38" i="3"/>
  <c r="AH38" i="3"/>
  <c r="AG38" i="3"/>
  <c r="AF38" i="3"/>
  <c r="BC37" i="3"/>
  <c r="BB37" i="3"/>
  <c r="BA37" i="3"/>
  <c r="AZ37" i="3"/>
  <c r="AY37" i="3"/>
  <c r="AX37" i="3"/>
  <c r="AW37" i="3"/>
  <c r="AV37" i="3"/>
  <c r="AU37" i="3"/>
  <c r="AT37" i="3"/>
  <c r="AS37" i="3"/>
  <c r="AR37" i="3"/>
  <c r="AQ37" i="3"/>
  <c r="AP37" i="3"/>
  <c r="AO37" i="3"/>
  <c r="AN37" i="3"/>
  <c r="AM37" i="3"/>
  <c r="AL37" i="3"/>
  <c r="AK37" i="3"/>
  <c r="AJ37" i="3"/>
  <c r="AI37" i="3"/>
  <c r="AH37" i="3"/>
  <c r="AG37" i="3"/>
  <c r="AF37" i="3"/>
  <c r="BC36" i="3"/>
  <c r="BB36" i="3"/>
  <c r="BA36" i="3"/>
  <c r="AZ36" i="3"/>
  <c r="AY36" i="3"/>
  <c r="AX36" i="3"/>
  <c r="AW36" i="3"/>
  <c r="AV36" i="3"/>
  <c r="AU36" i="3"/>
  <c r="AT36" i="3"/>
  <c r="AS36" i="3"/>
  <c r="AR36" i="3"/>
  <c r="AQ36" i="3"/>
  <c r="AP36" i="3"/>
  <c r="AO36" i="3"/>
  <c r="AN36" i="3"/>
  <c r="AM36" i="3"/>
  <c r="AL36" i="3"/>
  <c r="AK36" i="3"/>
  <c r="AJ36" i="3"/>
  <c r="AI36" i="3"/>
  <c r="AH36" i="3"/>
  <c r="AG36" i="3"/>
  <c r="AF36" i="3"/>
  <c r="BC35" i="3"/>
  <c r="BB35" i="3"/>
  <c r="BA35" i="3"/>
  <c r="AZ35" i="3"/>
  <c r="AY35" i="3"/>
  <c r="AX35" i="3"/>
  <c r="AW35" i="3"/>
  <c r="AV35" i="3"/>
  <c r="AU35" i="3"/>
  <c r="AT35" i="3"/>
  <c r="AS35" i="3"/>
  <c r="AR35" i="3"/>
  <c r="AQ35" i="3"/>
  <c r="AP35" i="3"/>
  <c r="AO35" i="3"/>
  <c r="AN35" i="3"/>
  <c r="AM35" i="3"/>
  <c r="AL35" i="3"/>
  <c r="AK35" i="3"/>
  <c r="AJ35" i="3"/>
  <c r="AI35" i="3"/>
  <c r="AH35" i="3"/>
  <c r="AG35" i="3"/>
  <c r="AF35" i="3"/>
  <c r="BC34" i="3"/>
  <c r="BB34" i="3"/>
  <c r="BA34" i="3"/>
  <c r="AZ34" i="3"/>
  <c r="AY34" i="3"/>
  <c r="AX34" i="3"/>
  <c r="AW34" i="3"/>
  <c r="AV34" i="3"/>
  <c r="AU34" i="3"/>
  <c r="AT34" i="3"/>
  <c r="AS34" i="3"/>
  <c r="AR34" i="3"/>
  <c r="AQ34" i="3"/>
  <c r="AP34" i="3"/>
  <c r="AO34" i="3"/>
  <c r="AN34" i="3"/>
  <c r="AM34" i="3"/>
  <c r="AL34" i="3"/>
  <c r="AK34" i="3"/>
  <c r="AJ34" i="3"/>
  <c r="AI34" i="3"/>
  <c r="AH34" i="3"/>
  <c r="AG34" i="3"/>
  <c r="AF34" i="3"/>
  <c r="BC33" i="3"/>
  <c r="BB33" i="3"/>
  <c r="BA33" i="3"/>
  <c r="AZ33" i="3"/>
  <c r="AY33" i="3"/>
  <c r="AX33" i="3"/>
  <c r="AW33" i="3"/>
  <c r="AV33" i="3"/>
  <c r="AU33" i="3"/>
  <c r="AT33" i="3"/>
  <c r="AS33" i="3"/>
  <c r="AR33" i="3"/>
  <c r="AQ33" i="3"/>
  <c r="AP33" i="3"/>
  <c r="AO33" i="3"/>
  <c r="AN33" i="3"/>
  <c r="AM33" i="3"/>
  <c r="AL33" i="3"/>
  <c r="AK33" i="3"/>
  <c r="AJ33" i="3"/>
  <c r="AI33" i="3"/>
  <c r="AH33" i="3"/>
  <c r="AG33" i="3"/>
  <c r="AF33" i="3"/>
  <c r="BC32" i="3"/>
  <c r="BB32" i="3"/>
  <c r="BA32" i="3"/>
  <c r="AZ32" i="3"/>
  <c r="AY32" i="3"/>
  <c r="AX32" i="3"/>
  <c r="AW32" i="3"/>
  <c r="AV32" i="3"/>
  <c r="AU32" i="3"/>
  <c r="AT32" i="3"/>
  <c r="AS32" i="3"/>
  <c r="AR32" i="3"/>
  <c r="AQ32" i="3"/>
  <c r="AP32" i="3"/>
  <c r="AO32" i="3"/>
  <c r="AN32" i="3"/>
  <c r="AM32" i="3"/>
  <c r="AL32" i="3"/>
  <c r="AK32" i="3"/>
  <c r="AJ32" i="3"/>
  <c r="AI32" i="3"/>
  <c r="AH32" i="3"/>
  <c r="AG32" i="3"/>
  <c r="AF32" i="3"/>
  <c r="BC31" i="3"/>
  <c r="BB31" i="3"/>
  <c r="BA31" i="3"/>
  <c r="AZ31" i="3"/>
  <c r="AY31" i="3"/>
  <c r="AX31" i="3"/>
  <c r="AW31" i="3"/>
  <c r="AV31" i="3"/>
  <c r="AU31" i="3"/>
  <c r="AT31" i="3"/>
  <c r="AS31" i="3"/>
  <c r="AR31" i="3"/>
  <c r="AQ31" i="3"/>
  <c r="AP31" i="3"/>
  <c r="AO31" i="3"/>
  <c r="AN31" i="3"/>
  <c r="AM31" i="3"/>
  <c r="AL31" i="3"/>
  <c r="AK31" i="3"/>
  <c r="AJ31" i="3"/>
  <c r="AI31" i="3"/>
  <c r="AH31" i="3"/>
  <c r="AG31" i="3"/>
  <c r="AF31" i="3"/>
  <c r="BC30" i="3"/>
  <c r="BB30" i="3"/>
  <c r="BA30" i="3"/>
  <c r="AZ30" i="3"/>
  <c r="AY30" i="3"/>
  <c r="AX30" i="3"/>
  <c r="AW30" i="3"/>
  <c r="AV30" i="3"/>
  <c r="AU30" i="3"/>
  <c r="AT30" i="3"/>
  <c r="AS30" i="3"/>
  <c r="AR30" i="3"/>
  <c r="AQ30" i="3"/>
  <c r="AP30" i="3"/>
  <c r="AO30" i="3"/>
  <c r="AN30" i="3"/>
  <c r="AM30" i="3"/>
  <c r="AL30" i="3"/>
  <c r="AK30" i="3"/>
  <c r="AJ30" i="3"/>
  <c r="AI30" i="3"/>
  <c r="AH30" i="3"/>
  <c r="AG30" i="3"/>
  <c r="AF30" i="3"/>
  <c r="BC29" i="3"/>
  <c r="BB29" i="3"/>
  <c r="BA29" i="3"/>
  <c r="AZ29" i="3"/>
  <c r="AY29" i="3"/>
  <c r="AX29" i="3"/>
  <c r="AW29" i="3"/>
  <c r="AV29" i="3"/>
  <c r="AU29" i="3"/>
  <c r="AT29" i="3"/>
  <c r="AS29" i="3"/>
  <c r="AR29" i="3"/>
  <c r="AQ29" i="3"/>
  <c r="AP29" i="3"/>
  <c r="AO29" i="3"/>
  <c r="AN29" i="3"/>
  <c r="AM29" i="3"/>
  <c r="AL29" i="3"/>
  <c r="AK29" i="3"/>
  <c r="AJ29" i="3"/>
  <c r="AI29" i="3"/>
  <c r="AH29" i="3"/>
  <c r="AG29" i="3"/>
  <c r="AF29" i="3"/>
  <c r="BC28" i="3"/>
  <c r="BB28" i="3"/>
  <c r="BA28" i="3"/>
  <c r="AZ28" i="3"/>
  <c r="AY28" i="3"/>
  <c r="AX28" i="3"/>
  <c r="AW28" i="3"/>
  <c r="AV28" i="3"/>
  <c r="AU28" i="3"/>
  <c r="AT28" i="3"/>
  <c r="AS28" i="3"/>
  <c r="AR28" i="3"/>
  <c r="AQ28" i="3"/>
  <c r="AP28" i="3"/>
  <c r="AO28" i="3"/>
  <c r="AN28" i="3"/>
  <c r="AM28" i="3"/>
  <c r="AL28" i="3"/>
  <c r="AK28" i="3"/>
  <c r="AJ28" i="3"/>
  <c r="AI28" i="3"/>
  <c r="AH28" i="3"/>
  <c r="AG28" i="3"/>
  <c r="AF28" i="3"/>
  <c r="BC27" i="3"/>
  <c r="BB27" i="3"/>
  <c r="BA27" i="3"/>
  <c r="AZ27" i="3"/>
  <c r="AY27" i="3"/>
  <c r="AX27" i="3"/>
  <c r="AW27" i="3"/>
  <c r="AV27" i="3"/>
  <c r="AU27" i="3"/>
  <c r="AT27" i="3"/>
  <c r="AS27" i="3"/>
  <c r="AR27" i="3"/>
  <c r="AQ27" i="3"/>
  <c r="AP27" i="3"/>
  <c r="AO27" i="3"/>
  <c r="AN27" i="3"/>
  <c r="AM27" i="3"/>
  <c r="AL27" i="3"/>
  <c r="AK27" i="3"/>
  <c r="AJ27" i="3"/>
  <c r="AI27" i="3"/>
  <c r="AH27" i="3"/>
  <c r="AG27" i="3"/>
  <c r="AF27" i="3"/>
  <c r="BC26" i="3"/>
  <c r="BB26" i="3"/>
  <c r="BA26" i="3"/>
  <c r="AZ26" i="3"/>
  <c r="AY26" i="3"/>
  <c r="AX26" i="3"/>
  <c r="AW26" i="3"/>
  <c r="AV26" i="3"/>
  <c r="AU26" i="3"/>
  <c r="AT26" i="3"/>
  <c r="AS26" i="3"/>
  <c r="AR26" i="3"/>
  <c r="AQ26" i="3"/>
  <c r="AP26" i="3"/>
  <c r="AO26" i="3"/>
  <c r="AN26" i="3"/>
  <c r="AM26" i="3"/>
  <c r="AL26" i="3"/>
  <c r="AK26" i="3"/>
  <c r="AJ26" i="3"/>
  <c r="AI26" i="3"/>
  <c r="AH26" i="3"/>
  <c r="AG26" i="3"/>
  <c r="AF26" i="3"/>
  <c r="BC25" i="3"/>
  <c r="BB25" i="3"/>
  <c r="BA25" i="3"/>
  <c r="AZ25" i="3"/>
  <c r="AY25" i="3"/>
  <c r="AX25" i="3"/>
  <c r="AW25" i="3"/>
  <c r="AV25" i="3"/>
  <c r="AU25" i="3"/>
  <c r="AT25" i="3"/>
  <c r="AS25" i="3"/>
  <c r="AR25" i="3"/>
  <c r="AQ25" i="3"/>
  <c r="AP25" i="3"/>
  <c r="AO25" i="3"/>
  <c r="AN25" i="3"/>
  <c r="AM25" i="3"/>
  <c r="AL25" i="3"/>
  <c r="AK25" i="3"/>
  <c r="AJ25" i="3"/>
  <c r="AI25" i="3"/>
  <c r="AH25" i="3"/>
  <c r="AG25" i="3"/>
  <c r="AF25" i="3"/>
  <c r="BC24" i="3"/>
  <c r="BB24" i="3"/>
  <c r="BA24" i="3"/>
  <c r="AZ24" i="3"/>
  <c r="AY24" i="3"/>
  <c r="AX24" i="3"/>
  <c r="AW24" i="3"/>
  <c r="AV24" i="3"/>
  <c r="AU24" i="3"/>
  <c r="AT24" i="3"/>
  <c r="AS24" i="3"/>
  <c r="AR24" i="3"/>
  <c r="AQ24" i="3"/>
  <c r="AP24" i="3"/>
  <c r="AO24" i="3"/>
  <c r="AN24" i="3"/>
  <c r="AM24" i="3"/>
  <c r="AL24" i="3"/>
  <c r="AK24" i="3"/>
  <c r="AJ24" i="3"/>
  <c r="AI24" i="3"/>
  <c r="AH24" i="3"/>
  <c r="AG24" i="3"/>
  <c r="AF24" i="3"/>
  <c r="BC23" i="3"/>
  <c r="BB23" i="3"/>
  <c r="BA23" i="3"/>
  <c r="AZ23" i="3"/>
  <c r="AY23" i="3"/>
  <c r="AX23" i="3"/>
  <c r="AW23" i="3"/>
  <c r="AV23" i="3"/>
  <c r="AU23" i="3"/>
  <c r="AT23" i="3"/>
  <c r="AS23" i="3"/>
  <c r="AR23" i="3"/>
  <c r="AQ23" i="3"/>
  <c r="AP23" i="3"/>
  <c r="AO23" i="3"/>
  <c r="AN23" i="3"/>
  <c r="AM23" i="3"/>
  <c r="AL23" i="3"/>
  <c r="AK23" i="3"/>
  <c r="AJ23" i="3"/>
  <c r="AI23" i="3"/>
  <c r="AH23" i="3"/>
  <c r="AG23" i="3"/>
  <c r="AF23" i="3"/>
  <c r="BC22" i="3"/>
  <c r="BB22" i="3"/>
  <c r="BA22" i="3"/>
  <c r="AZ22" i="3"/>
  <c r="AY22" i="3"/>
  <c r="AX22" i="3"/>
  <c r="AW22" i="3"/>
  <c r="AV22" i="3"/>
  <c r="AU22" i="3"/>
  <c r="AT22" i="3"/>
  <c r="AS22" i="3"/>
  <c r="AR22" i="3"/>
  <c r="AQ22" i="3"/>
  <c r="AP22" i="3"/>
  <c r="AO22" i="3"/>
  <c r="AN22" i="3"/>
  <c r="AM22" i="3"/>
  <c r="AL22" i="3"/>
  <c r="AK22" i="3"/>
  <c r="AJ22" i="3"/>
  <c r="AI22" i="3"/>
  <c r="AH22" i="3"/>
  <c r="AG22" i="3"/>
  <c r="AF22" i="3"/>
  <c r="BC21" i="3"/>
  <c r="BB21" i="3"/>
  <c r="BA21" i="3"/>
  <c r="AZ21" i="3"/>
  <c r="AY21" i="3"/>
  <c r="AX21" i="3"/>
  <c r="AW21" i="3"/>
  <c r="AV21" i="3"/>
  <c r="AU21" i="3"/>
  <c r="AT21" i="3"/>
  <c r="AS21" i="3"/>
  <c r="AR21" i="3"/>
  <c r="AQ21" i="3"/>
  <c r="AP21" i="3"/>
  <c r="AO21" i="3"/>
  <c r="AN21" i="3"/>
  <c r="AM21" i="3"/>
  <c r="AL21" i="3"/>
  <c r="AK21" i="3"/>
  <c r="AJ21" i="3"/>
  <c r="AI21" i="3"/>
  <c r="AH21" i="3"/>
  <c r="AG21" i="3"/>
  <c r="AF21" i="3"/>
  <c r="BC20" i="3"/>
  <c r="BB20" i="3"/>
  <c r="BA20" i="3"/>
  <c r="AZ20" i="3"/>
  <c r="AY20" i="3"/>
  <c r="AX20" i="3"/>
  <c r="AW20" i="3"/>
  <c r="AV20" i="3"/>
  <c r="AU20" i="3"/>
  <c r="AT20" i="3"/>
  <c r="AS20" i="3"/>
  <c r="AR20" i="3"/>
  <c r="AQ20" i="3"/>
  <c r="AP20" i="3"/>
  <c r="AO20" i="3"/>
  <c r="AN20" i="3"/>
  <c r="AM20" i="3"/>
  <c r="AL20" i="3"/>
  <c r="AK20" i="3"/>
  <c r="AJ20" i="3"/>
  <c r="AI20" i="3"/>
  <c r="AH20" i="3"/>
  <c r="AG20" i="3"/>
  <c r="AF20" i="3"/>
  <c r="BC19" i="3"/>
  <c r="BB19" i="3"/>
  <c r="BA19" i="3"/>
  <c r="AZ19" i="3"/>
  <c r="AY19" i="3"/>
  <c r="AX19" i="3"/>
  <c r="AW19" i="3"/>
  <c r="AV19" i="3"/>
  <c r="AU19" i="3"/>
  <c r="AT19" i="3"/>
  <c r="AS19" i="3"/>
  <c r="AR19" i="3"/>
  <c r="AQ19" i="3"/>
  <c r="AP19" i="3"/>
  <c r="AO19" i="3"/>
  <c r="AN19" i="3"/>
  <c r="AM19" i="3"/>
  <c r="AL19" i="3"/>
  <c r="AK19" i="3"/>
  <c r="AJ19" i="3"/>
  <c r="AI19" i="3"/>
  <c r="AH19" i="3"/>
  <c r="AG19" i="3"/>
  <c r="AF19" i="3"/>
  <c r="Q3" i="3" l="1"/>
  <c r="Q4" i="3"/>
  <c r="Q1" i="3"/>
  <c r="Q5" i="3"/>
</calcChain>
</file>

<file path=xl/sharedStrings.xml><?xml version="1.0" encoding="utf-8"?>
<sst xmlns="http://schemas.openxmlformats.org/spreadsheetml/2006/main" count="873" uniqueCount="83">
  <si>
    <t>Container 
number</t>
  </si>
  <si>
    <t>TEU</t>
  </si>
  <si>
    <t>Weight</t>
  </si>
  <si>
    <t>ETA</t>
  </si>
  <si>
    <t>Call date</t>
  </si>
  <si>
    <t>Deep sea terminal</t>
  </si>
  <si>
    <t>Demurrage 
free period</t>
  </si>
  <si>
    <t>ECT Delta</t>
  </si>
  <si>
    <t>APMT2</t>
  </si>
  <si>
    <t>WBT</t>
  </si>
  <si>
    <t>AMPT</t>
  </si>
  <si>
    <t>BCW</t>
  </si>
  <si>
    <t>ECT Euromax</t>
  </si>
  <si>
    <t>ECT City</t>
  </si>
  <si>
    <t>RWG</t>
  </si>
  <si>
    <t>Uniport</t>
  </si>
  <si>
    <t>A</t>
  </si>
  <si>
    <t>B</t>
  </si>
  <si>
    <t>C</t>
  </si>
  <si>
    <t>D</t>
  </si>
  <si>
    <t>E</t>
  </si>
  <si>
    <t>F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</si>
  <si>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</si>
  <si>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</si>
  <si>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</si>
  <si>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</si>
  <si>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</si>
  <si>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</si>
  <si>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</si>
  <si>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</si>
  <si>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</si>
  <si>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</si>
  <si>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Used TEU Capacity</t>
  </si>
  <si>
    <t xml:space="preserve">TEU limit </t>
  </si>
  <si>
    <t>Used weight Capacity</t>
  </si>
  <si>
    <t>weight limit</t>
  </si>
  <si>
    <t>Transport Constraint</t>
  </si>
  <si>
    <t>ETA Call Constraint Sum</t>
  </si>
  <si>
    <t xml:space="preserve">Congestion Costs Decision Variables </t>
  </si>
  <si>
    <t>Day</t>
  </si>
  <si>
    <t>Barge</t>
  </si>
  <si>
    <t>Terminal</t>
  </si>
  <si>
    <t>Decision Variables</t>
  </si>
  <si>
    <t>Costs incurred</t>
  </si>
  <si>
    <t>Loading Costs incurred</t>
  </si>
  <si>
    <t>Travel Costs incurred</t>
  </si>
  <si>
    <t>Total Costs</t>
  </si>
  <si>
    <t>Loading Costs</t>
  </si>
  <si>
    <t>Travel Costs</t>
  </si>
  <si>
    <t>TEU limit barge</t>
  </si>
  <si>
    <t>Weight limit barge</t>
  </si>
  <si>
    <t># containers at terminal</t>
  </si>
  <si>
    <t>Total Congestion Costs</t>
  </si>
  <si>
    <t>Total Loading Costs</t>
  </si>
  <si>
    <t>Total Travel Costs</t>
  </si>
  <si>
    <t>Total Transportation Costs</t>
  </si>
  <si>
    <t>Mode</t>
  </si>
  <si>
    <t>Transport Day</t>
  </si>
  <si>
    <t>Costs</t>
  </si>
  <si>
    <t>Trucks</t>
  </si>
  <si>
    <t>Barge A</t>
  </si>
  <si>
    <t>Barge B</t>
  </si>
  <si>
    <t>Barge C</t>
  </si>
  <si>
    <t>Barge D</t>
  </si>
  <si>
    <t>Barge E</t>
  </si>
  <si>
    <t>Barge F</t>
  </si>
  <si>
    <t>Containers</t>
  </si>
  <si>
    <t>Terminals</t>
  </si>
  <si>
    <t>Barge_name</t>
  </si>
  <si>
    <t>Day_1</t>
  </si>
  <si>
    <t>Day_2</t>
  </si>
  <si>
    <t>Day_3</t>
  </si>
  <si>
    <t>Day_4</t>
  </si>
  <si>
    <t>Day_5</t>
  </si>
  <si>
    <t>Day_6</t>
  </si>
  <si>
    <t>Day_7</t>
  </si>
  <si>
    <t>Day_8</t>
  </si>
  <si>
    <t>Day_9</t>
  </si>
  <si>
    <t>Day_10</t>
  </si>
  <si>
    <t>Max_Teu</t>
  </si>
  <si>
    <t>Max_weight</t>
  </si>
  <si>
    <t>Day_11</t>
  </si>
  <si>
    <t>Day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</si>
</sst>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8</xdr:row>
          <xdr:rowOff>57150</xdr:rowOff>
        </xdr:from>
        <xdr:to>
          <xdr:col>11</xdr:col>
          <xdr:colOff>419100</xdr:colOff>
          <xdr:row>13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CONTAINER DSS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4</xdr:row>
      <xdr:rowOff>0</xdr:rowOff>
    </xdr:from>
    <xdr:to>
      <xdr:col>153</xdr:col>
      <xdr:colOff>0</xdr:colOff>
      <xdr:row>5</xdr:row>
      <xdr:rowOff>0</xdr:rowOff>
    </xdr:to>
    <xdr:sp macro="" textlink="">
      <xdr:nvSpPr>
        <xdr:cNvPr id="562" name="OpenSolver1">
          <a:extLst>
            <a:ext uri="{FF2B5EF4-FFF2-40B4-BE49-F238E27FC236}">
              <a16:creationId xmlns:a16="http://schemas.microsoft.com/office/drawing/2014/main" xmlns="" id="{00000000-0008-0000-0200-000032020000}"/>
            </a:ext>
          </a:extLst>
        </xdr:cNvPr>
        <xdr:cNvSpPr/>
      </xdr:nvSpPr>
      <xdr:spPr>
        <a:xfrm>
          <a:off x="10972800" y="762000"/>
          <a:ext cx="8229600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33</xdr:col>
      <xdr:colOff>0</xdr:colOff>
      <xdr:row>317</xdr:row>
      <xdr:rowOff>0</xdr:rowOff>
    </xdr:to>
    <xdr:sp macro="" textlink="">
      <xdr:nvSpPr>
        <xdr:cNvPr id="563" name="OpenSolver2">
          <a:extLst>
            <a:ext uri="{FF2B5EF4-FFF2-40B4-BE49-F238E27FC236}">
              <a16:creationId xmlns:a16="http://schemas.microsoft.com/office/drawing/2014/main" xmlns="" id="{00000000-0008-0000-0200-000033020000}"/>
            </a:ext>
          </a:extLst>
        </xdr:cNvPr>
        <xdr:cNvSpPr/>
      </xdr:nvSpPr>
      <xdr:spPr>
        <a:xfrm>
          <a:off x="4267200" y="3429000"/>
          <a:ext cx="15849600" cy="56959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sp macro="" textlink="">
      <xdr:nvSpPr>
        <xdr:cNvPr id="564" name="OpenSolver3">
          <a:extLst>
            <a:ext uri="{FF2B5EF4-FFF2-40B4-BE49-F238E27FC236}">
              <a16:creationId xmlns:a16="http://schemas.microsoft.com/office/drawing/2014/main" xmlns="" id="{00000000-0008-0000-0200-000034020000}"/>
            </a:ext>
          </a:extLst>
        </xdr:cNvPr>
        <xdr:cNvSpPr/>
      </xdr:nvSpPr>
      <xdr:spPr>
        <a:xfrm>
          <a:off x="9753600" y="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15</xdr:col>
      <xdr:colOff>596900</xdr:colOff>
      <xdr:row>0</xdr:row>
      <xdr:rowOff>0</xdr:rowOff>
    </xdr:from>
    <xdr:to>
      <xdr:col>16</xdr:col>
      <xdr:colOff>218389</xdr:colOff>
      <xdr:row>0</xdr:row>
      <xdr:rowOff>127000</xdr:rowOff>
    </xdr:to>
    <xdr:sp macro="" textlink="">
      <xdr:nvSpPr>
        <xdr:cNvPr id="565" name="OpenSolver4">
          <a:extLst>
            <a:ext uri="{FF2B5EF4-FFF2-40B4-BE49-F238E27FC236}">
              <a16:creationId xmlns:a16="http://schemas.microsoft.com/office/drawing/2014/main" xmlns="" id="{00000000-0008-0000-0200-000035020000}"/>
            </a:ext>
          </a:extLst>
        </xdr:cNvPr>
        <xdr:cNvSpPr/>
      </xdr:nvSpPr>
      <xdr:spPr>
        <a:xfrm>
          <a:off x="9740900" y="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18</xdr:row>
      <xdr:rowOff>0</xdr:rowOff>
    </xdr:from>
    <xdr:to>
      <xdr:col>9</xdr:col>
      <xdr:colOff>0</xdr:colOff>
      <xdr:row>102</xdr:row>
      <xdr:rowOff>0</xdr:rowOff>
    </xdr:to>
    <xdr:sp macro="" textlink="">
      <xdr:nvSpPr>
        <xdr:cNvPr id="566" name="OpenSolver5">
          <a:extLst>
            <a:ext uri="{FF2B5EF4-FFF2-40B4-BE49-F238E27FC236}">
              <a16:creationId xmlns:a16="http://schemas.microsoft.com/office/drawing/2014/main" xmlns="" id="{00000000-0008-0000-0200-000036020000}"/>
            </a:ext>
          </a:extLst>
        </xdr:cNvPr>
        <xdr:cNvSpPr/>
      </xdr:nvSpPr>
      <xdr:spPr>
        <a:xfrm>
          <a:off x="48768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0</xdr:colOff>
      <xdr:row>4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567" name="OpenSolver6">
          <a:extLst>
            <a:ext uri="{FF2B5EF4-FFF2-40B4-BE49-F238E27FC236}">
              <a16:creationId xmlns:a16="http://schemas.microsoft.com/office/drawing/2014/main" xmlns="" id="{00000000-0008-0000-0200-000037020000}"/>
            </a:ext>
          </a:extLst>
        </xdr:cNvPr>
        <xdr:cNvSpPr/>
      </xdr:nvSpPr>
      <xdr:spPr>
        <a:xfrm>
          <a:off x="1097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18</xdr:col>
      <xdr:colOff>0</xdr:colOff>
      <xdr:row>18</xdr:row>
      <xdr:rowOff>0</xdr:rowOff>
    </xdr:to>
    <xdr:cxnSp macro="">
      <xdr:nvCxnSpPr>
        <xdr:cNvPr id="568" name="OpenSolver7">
          <a:extLst>
            <a:ext uri="{FF2B5EF4-FFF2-40B4-BE49-F238E27FC236}">
              <a16:creationId xmlns:a16="http://schemas.microsoft.com/office/drawing/2014/main" xmlns="" id="{00000000-0008-0000-0200-000038020000}"/>
            </a:ext>
          </a:extLst>
        </xdr:cNvPr>
        <xdr:cNvCxnSpPr>
          <a:stCxn id="566" idx="0"/>
          <a:endCxn id="567" idx="1"/>
        </xdr:cNvCxnSpPr>
      </xdr:nvCxnSpPr>
      <xdr:spPr>
        <a:xfrm flipV="1">
          <a:off x="5181600" y="857250"/>
          <a:ext cx="579120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571500</xdr:colOff>
      <xdr:row>10</xdr:row>
      <xdr:rowOff>111125</xdr:rowOff>
    </xdr:from>
    <xdr:to>
      <xdr:col>13</xdr:col>
      <xdr:colOff>342900</xdr:colOff>
      <xdr:row>11</xdr:row>
      <xdr:rowOff>174625</xdr:rowOff>
    </xdr:to>
    <xdr:sp macro="" textlink="">
      <xdr:nvSpPr>
        <xdr:cNvPr id="569" name="OpenSolver8">
          <a:extLst>
            <a:ext uri="{FF2B5EF4-FFF2-40B4-BE49-F238E27FC236}">
              <a16:creationId xmlns:a16="http://schemas.microsoft.com/office/drawing/2014/main" xmlns="" id="{00000000-0008-0000-0200-000039020000}"/>
            </a:ext>
          </a:extLst>
        </xdr:cNvPr>
        <xdr:cNvSpPr/>
      </xdr:nvSpPr>
      <xdr:spPr>
        <a:xfrm>
          <a:off x="7886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102</xdr:row>
      <xdr:rowOff>0</xdr:rowOff>
    </xdr:from>
    <xdr:to>
      <xdr:col>9</xdr:col>
      <xdr:colOff>0</xdr:colOff>
      <xdr:row>127</xdr:row>
      <xdr:rowOff>0</xdr:rowOff>
    </xdr:to>
    <xdr:sp macro="" textlink="">
      <xdr:nvSpPr>
        <xdr:cNvPr id="570" name="OpenSolver9">
          <a:extLst>
            <a:ext uri="{FF2B5EF4-FFF2-40B4-BE49-F238E27FC236}">
              <a16:creationId xmlns:a16="http://schemas.microsoft.com/office/drawing/2014/main" xmlns="" id="{00000000-0008-0000-0200-00003A020000}"/>
            </a:ext>
          </a:extLst>
        </xdr:cNvPr>
        <xdr:cNvSpPr/>
      </xdr:nvSpPr>
      <xdr:spPr>
        <a:xfrm>
          <a:off x="48768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sp macro="" textlink="">
      <xdr:nvSpPr>
        <xdr:cNvPr id="571" name="OpenSolver10">
          <a:extLst>
            <a:ext uri="{FF2B5EF4-FFF2-40B4-BE49-F238E27FC236}">
              <a16:creationId xmlns:a16="http://schemas.microsoft.com/office/drawing/2014/main" xmlns="" id="{00000000-0008-0000-0200-00003B020000}"/>
            </a:ext>
          </a:extLst>
        </xdr:cNvPr>
        <xdr:cNvSpPr/>
      </xdr:nvSpPr>
      <xdr:spPr>
        <a:xfrm>
          <a:off x="1158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19</xdr:col>
      <xdr:colOff>0</xdr:colOff>
      <xdr:row>102</xdr:row>
      <xdr:rowOff>0</xdr:rowOff>
    </xdr:to>
    <xdr:cxnSp macro="">
      <xdr:nvCxnSpPr>
        <xdr:cNvPr id="572" name="OpenSolver11">
          <a:extLst>
            <a:ext uri="{FF2B5EF4-FFF2-40B4-BE49-F238E27FC236}">
              <a16:creationId xmlns:a16="http://schemas.microsoft.com/office/drawing/2014/main" xmlns="" id="{00000000-0008-0000-0200-00003C020000}"/>
            </a:ext>
          </a:extLst>
        </xdr:cNvPr>
        <xdr:cNvCxnSpPr>
          <a:stCxn id="570" idx="0"/>
          <a:endCxn id="571" idx="1"/>
        </xdr:cNvCxnSpPr>
      </xdr:nvCxnSpPr>
      <xdr:spPr>
        <a:xfrm flipV="1">
          <a:off x="5181600" y="857250"/>
          <a:ext cx="6400800" cy="1857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266700</xdr:colOff>
      <xdr:row>52</xdr:row>
      <xdr:rowOff>111125</xdr:rowOff>
    </xdr:from>
    <xdr:to>
      <xdr:col>14</xdr:col>
      <xdr:colOff>38100</xdr:colOff>
      <xdr:row>53</xdr:row>
      <xdr:rowOff>174625</xdr:rowOff>
    </xdr:to>
    <xdr:sp macro="" textlink="">
      <xdr:nvSpPr>
        <xdr:cNvPr id="573" name="OpenSolver12">
          <a:extLst>
            <a:ext uri="{FF2B5EF4-FFF2-40B4-BE49-F238E27FC236}">
              <a16:creationId xmlns:a16="http://schemas.microsoft.com/office/drawing/2014/main" xmlns="" id="{00000000-0008-0000-0200-00003D020000}"/>
            </a:ext>
          </a:extLst>
        </xdr:cNvPr>
        <xdr:cNvSpPr/>
      </xdr:nvSpPr>
      <xdr:spPr>
        <a:xfrm>
          <a:off x="8191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127</xdr:row>
      <xdr:rowOff>0</xdr:rowOff>
    </xdr:from>
    <xdr:to>
      <xdr:col>9</xdr:col>
      <xdr:colOff>0</xdr:colOff>
      <xdr:row>135</xdr:row>
      <xdr:rowOff>0</xdr:rowOff>
    </xdr:to>
    <xdr:sp macro="" textlink="">
      <xdr:nvSpPr>
        <xdr:cNvPr id="574" name="OpenSolver13">
          <a:extLst>
            <a:ext uri="{FF2B5EF4-FFF2-40B4-BE49-F238E27FC236}">
              <a16:creationId xmlns:a16="http://schemas.microsoft.com/office/drawing/2014/main" xmlns="" id="{00000000-0008-0000-0200-00003E020000}"/>
            </a:ext>
          </a:extLst>
        </xdr:cNvPr>
        <xdr:cNvSpPr/>
      </xdr:nvSpPr>
      <xdr:spPr>
        <a:xfrm>
          <a:off x="48768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75" name="OpenSolver14">
          <a:extLst>
            <a:ext uri="{FF2B5EF4-FFF2-40B4-BE49-F238E27FC236}">
              <a16:creationId xmlns:a16="http://schemas.microsoft.com/office/drawing/2014/main" xmlns="" id="{00000000-0008-0000-0200-00003F020000}"/>
            </a:ext>
          </a:extLst>
        </xdr:cNvPr>
        <xdr:cNvSpPr/>
      </xdr:nvSpPr>
      <xdr:spPr>
        <a:xfrm>
          <a:off x="1219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20</xdr:col>
      <xdr:colOff>304800</xdr:colOff>
      <xdr:row>127</xdr:row>
      <xdr:rowOff>0</xdr:rowOff>
    </xdr:to>
    <xdr:cxnSp macro="">
      <xdr:nvCxnSpPr>
        <xdr:cNvPr id="576" name="OpenSolver15">
          <a:extLst>
            <a:ext uri="{FF2B5EF4-FFF2-40B4-BE49-F238E27FC236}">
              <a16:creationId xmlns:a16="http://schemas.microsoft.com/office/drawing/2014/main" xmlns="" id="{00000000-0008-0000-0200-000040020000}"/>
            </a:ext>
          </a:extLst>
        </xdr:cNvPr>
        <xdr:cNvCxnSpPr>
          <a:stCxn id="574" idx="0"/>
          <a:endCxn id="575" idx="2"/>
        </xdr:cNvCxnSpPr>
      </xdr:nvCxnSpPr>
      <xdr:spPr>
        <a:xfrm flipV="1">
          <a:off x="5181600" y="952500"/>
          <a:ext cx="7315200" cy="23241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114300</xdr:colOff>
      <xdr:row>65</xdr:row>
      <xdr:rowOff>63500</xdr:rowOff>
    </xdr:from>
    <xdr:to>
      <xdr:col>14</xdr:col>
      <xdr:colOff>495300</xdr:colOff>
      <xdr:row>66</xdr:row>
      <xdr:rowOff>127000</xdr:rowOff>
    </xdr:to>
    <xdr:sp macro="" textlink="">
      <xdr:nvSpPr>
        <xdr:cNvPr id="577" name="OpenSolver16">
          <a:extLst>
            <a:ext uri="{FF2B5EF4-FFF2-40B4-BE49-F238E27FC236}">
              <a16:creationId xmlns:a16="http://schemas.microsoft.com/office/drawing/2014/main" xmlns="" id="{00000000-0008-0000-0200-000041020000}"/>
            </a:ext>
          </a:extLst>
        </xdr:cNvPr>
        <xdr:cNvSpPr/>
      </xdr:nvSpPr>
      <xdr:spPr>
        <a:xfrm>
          <a:off x="8648700" y="12446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135</xdr:row>
      <xdr:rowOff>0</xdr:rowOff>
    </xdr:from>
    <xdr:to>
      <xdr:col>9</xdr:col>
      <xdr:colOff>0</xdr:colOff>
      <xdr:row>142</xdr:row>
      <xdr:rowOff>0</xdr:rowOff>
    </xdr:to>
    <xdr:sp macro="" textlink="">
      <xdr:nvSpPr>
        <xdr:cNvPr id="578" name="OpenSolver17">
          <a:extLst>
            <a:ext uri="{FF2B5EF4-FFF2-40B4-BE49-F238E27FC236}">
              <a16:creationId xmlns:a16="http://schemas.microsoft.com/office/drawing/2014/main" xmlns="" id="{00000000-0008-0000-0200-000042020000}"/>
            </a:ext>
          </a:extLst>
        </xdr:cNvPr>
        <xdr:cNvSpPr/>
      </xdr:nvSpPr>
      <xdr:spPr>
        <a:xfrm>
          <a:off x="48768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21</xdr:col>
      <xdr:colOff>0</xdr:colOff>
      <xdr:row>4</xdr:row>
      <xdr:rowOff>0</xdr:rowOff>
    </xdr:from>
    <xdr:to>
      <xdr:col>22</xdr:col>
      <xdr:colOff>0</xdr:colOff>
      <xdr:row>5</xdr:row>
      <xdr:rowOff>0</xdr:rowOff>
    </xdr:to>
    <xdr:sp macro="" textlink="">
      <xdr:nvSpPr>
        <xdr:cNvPr id="579" name="OpenSolver18">
          <a:extLst>
            <a:ext uri="{FF2B5EF4-FFF2-40B4-BE49-F238E27FC236}">
              <a16:creationId xmlns:a16="http://schemas.microsoft.com/office/drawing/2014/main" xmlns="" id="{00000000-0008-0000-0200-000043020000}"/>
            </a:ext>
          </a:extLst>
        </xdr:cNvPr>
        <xdr:cNvSpPr/>
      </xdr:nvSpPr>
      <xdr:spPr>
        <a:xfrm>
          <a:off x="1280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21</xdr:col>
      <xdr:colOff>0</xdr:colOff>
      <xdr:row>135</xdr:row>
      <xdr:rowOff>0</xdr:rowOff>
    </xdr:to>
    <xdr:cxnSp macro="">
      <xdr:nvCxnSpPr>
        <xdr:cNvPr id="580" name="OpenSolver19">
          <a:extLst>
            <a:ext uri="{FF2B5EF4-FFF2-40B4-BE49-F238E27FC236}">
              <a16:creationId xmlns:a16="http://schemas.microsoft.com/office/drawing/2014/main" xmlns="" id="{00000000-0008-0000-0200-000044020000}"/>
            </a:ext>
          </a:extLst>
        </xdr:cNvPr>
        <xdr:cNvCxnSpPr>
          <a:stCxn id="578" idx="0"/>
          <a:endCxn id="579" idx="1"/>
        </xdr:cNvCxnSpPr>
      </xdr:nvCxnSpPr>
      <xdr:spPr>
        <a:xfrm flipV="1">
          <a:off x="5181600" y="857250"/>
          <a:ext cx="7620000" cy="24860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266700</xdr:colOff>
      <xdr:row>69</xdr:row>
      <xdr:rowOff>15875</xdr:rowOff>
    </xdr:from>
    <xdr:to>
      <xdr:col>15</xdr:col>
      <xdr:colOff>38100</xdr:colOff>
      <xdr:row>70</xdr:row>
      <xdr:rowOff>79375</xdr:rowOff>
    </xdr:to>
    <xdr:sp macro="" textlink="">
      <xdr:nvSpPr>
        <xdr:cNvPr id="581" name="OpenSolver20">
          <a:extLst>
            <a:ext uri="{FF2B5EF4-FFF2-40B4-BE49-F238E27FC236}">
              <a16:creationId xmlns:a16="http://schemas.microsoft.com/office/drawing/2014/main" xmlns="" id="{00000000-0008-0000-0200-000045020000}"/>
            </a:ext>
          </a:extLst>
        </xdr:cNvPr>
        <xdr:cNvSpPr/>
      </xdr:nvSpPr>
      <xdr:spPr>
        <a:xfrm>
          <a:off x="8801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142</xdr:row>
      <xdr:rowOff>0</xdr:rowOff>
    </xdr:from>
    <xdr:to>
      <xdr:col>9</xdr:col>
      <xdr:colOff>0</xdr:colOff>
      <xdr:row>277</xdr:row>
      <xdr:rowOff>0</xdr:rowOff>
    </xdr:to>
    <xdr:sp macro="" textlink="">
      <xdr:nvSpPr>
        <xdr:cNvPr id="582" name="OpenSolver21">
          <a:extLst>
            <a:ext uri="{FF2B5EF4-FFF2-40B4-BE49-F238E27FC236}">
              <a16:creationId xmlns:a16="http://schemas.microsoft.com/office/drawing/2014/main" xmlns="" id="{00000000-0008-0000-0200-000046020000}"/>
            </a:ext>
          </a:extLst>
        </xdr:cNvPr>
        <xdr:cNvSpPr/>
      </xdr:nvSpPr>
      <xdr:spPr>
        <a:xfrm>
          <a:off x="48768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22</xdr:col>
      <xdr:colOff>0</xdr:colOff>
      <xdr:row>4</xdr:row>
      <xdr:rowOff>0</xdr:rowOff>
    </xdr:from>
    <xdr:to>
      <xdr:col>23</xdr:col>
      <xdr:colOff>0</xdr:colOff>
      <xdr:row>5</xdr:row>
      <xdr:rowOff>0</xdr:rowOff>
    </xdr:to>
    <xdr:sp macro="" textlink="">
      <xdr:nvSpPr>
        <xdr:cNvPr id="583" name="OpenSolver22">
          <a:extLst>
            <a:ext uri="{FF2B5EF4-FFF2-40B4-BE49-F238E27FC236}">
              <a16:creationId xmlns:a16="http://schemas.microsoft.com/office/drawing/2014/main" xmlns="" id="{00000000-0008-0000-0200-000047020000}"/>
            </a:ext>
          </a:extLst>
        </xdr:cNvPr>
        <xdr:cNvSpPr/>
      </xdr:nvSpPr>
      <xdr:spPr>
        <a:xfrm>
          <a:off x="1341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4</xdr:row>
      <xdr:rowOff>95250</xdr:rowOff>
    </xdr:from>
    <xdr:to>
      <xdr:col>22</xdr:col>
      <xdr:colOff>0</xdr:colOff>
      <xdr:row>142</xdr:row>
      <xdr:rowOff>0</xdr:rowOff>
    </xdr:to>
    <xdr:cxnSp macro="">
      <xdr:nvCxnSpPr>
        <xdr:cNvPr id="584" name="OpenSolver23">
          <a:extLst>
            <a:ext uri="{FF2B5EF4-FFF2-40B4-BE49-F238E27FC236}">
              <a16:creationId xmlns:a16="http://schemas.microsoft.com/office/drawing/2014/main" xmlns="" id="{00000000-0008-0000-0200-000048020000}"/>
            </a:ext>
          </a:extLst>
        </xdr:cNvPr>
        <xdr:cNvCxnSpPr>
          <a:stCxn id="582" idx="0"/>
          <a:endCxn id="583" idx="1"/>
        </xdr:cNvCxnSpPr>
      </xdr:nvCxnSpPr>
      <xdr:spPr>
        <a:xfrm flipV="1">
          <a:off x="5181600" y="857250"/>
          <a:ext cx="8229600" cy="2619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571500</xdr:colOff>
      <xdr:row>72</xdr:row>
      <xdr:rowOff>111125</xdr:rowOff>
    </xdr:from>
    <xdr:to>
      <xdr:col>15</xdr:col>
      <xdr:colOff>342900</xdr:colOff>
      <xdr:row>73</xdr:row>
      <xdr:rowOff>174625</xdr:rowOff>
    </xdr:to>
    <xdr:sp macro="" textlink="">
      <xdr:nvSpPr>
        <xdr:cNvPr id="585" name="OpenSolver24">
          <a:extLst>
            <a:ext uri="{FF2B5EF4-FFF2-40B4-BE49-F238E27FC236}">
              <a16:creationId xmlns:a16="http://schemas.microsoft.com/office/drawing/2014/main" xmlns="" id="{00000000-0008-0000-0200-000049020000}"/>
            </a:ext>
          </a:extLst>
        </xdr:cNvPr>
        <xdr:cNvSpPr/>
      </xdr:nvSpPr>
      <xdr:spPr>
        <a:xfrm>
          <a:off x="9105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277</xdr:row>
      <xdr:rowOff>0</xdr:rowOff>
    </xdr:from>
    <xdr:to>
      <xdr:col>9</xdr:col>
      <xdr:colOff>0</xdr:colOff>
      <xdr:row>304</xdr:row>
      <xdr:rowOff>0</xdr:rowOff>
    </xdr:to>
    <xdr:sp macro="" textlink="">
      <xdr:nvSpPr>
        <xdr:cNvPr id="586" name="OpenSolver25">
          <a:extLst>
            <a:ext uri="{FF2B5EF4-FFF2-40B4-BE49-F238E27FC236}">
              <a16:creationId xmlns:a16="http://schemas.microsoft.com/office/drawing/2014/main" xmlns="" id="{00000000-0008-0000-0200-00004A020000}"/>
            </a:ext>
          </a:extLst>
        </xdr:cNvPr>
        <xdr:cNvSpPr/>
      </xdr:nvSpPr>
      <xdr:spPr>
        <a:xfrm>
          <a:off x="48768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23</xdr:col>
      <xdr:colOff>0</xdr:colOff>
      <xdr:row>4</xdr:row>
      <xdr:rowOff>0</xdr:rowOff>
    </xdr:from>
    <xdr:to>
      <xdr:col>24</xdr:col>
      <xdr:colOff>0</xdr:colOff>
      <xdr:row>5</xdr:row>
      <xdr:rowOff>0</xdr:rowOff>
    </xdr:to>
    <xdr:sp macro="" textlink="">
      <xdr:nvSpPr>
        <xdr:cNvPr id="587" name="OpenSolver26">
          <a:extLst>
            <a:ext uri="{FF2B5EF4-FFF2-40B4-BE49-F238E27FC236}">
              <a16:creationId xmlns:a16="http://schemas.microsoft.com/office/drawing/2014/main" xmlns="" id="{00000000-0008-0000-0200-00004B020000}"/>
            </a:ext>
          </a:extLst>
        </xdr:cNvPr>
        <xdr:cNvSpPr/>
      </xdr:nvSpPr>
      <xdr:spPr>
        <a:xfrm>
          <a:off x="1402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23</xdr:col>
      <xdr:colOff>304800</xdr:colOff>
      <xdr:row>277</xdr:row>
      <xdr:rowOff>0</xdr:rowOff>
    </xdr:to>
    <xdr:cxnSp macro="">
      <xdr:nvCxnSpPr>
        <xdr:cNvPr id="588" name="OpenSolver27">
          <a:extLst>
            <a:ext uri="{FF2B5EF4-FFF2-40B4-BE49-F238E27FC236}">
              <a16:creationId xmlns:a16="http://schemas.microsoft.com/office/drawing/2014/main" xmlns="" id="{00000000-0008-0000-0200-00004C020000}"/>
            </a:ext>
          </a:extLst>
        </xdr:cNvPr>
        <xdr:cNvCxnSpPr>
          <a:stCxn id="586" idx="0"/>
          <a:endCxn id="587" idx="2"/>
        </xdr:cNvCxnSpPr>
      </xdr:nvCxnSpPr>
      <xdr:spPr>
        <a:xfrm flipV="1">
          <a:off x="5181600" y="952500"/>
          <a:ext cx="9144000" cy="518160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419100</xdr:colOff>
      <xdr:row>140</xdr:row>
      <xdr:rowOff>63500</xdr:rowOff>
    </xdr:from>
    <xdr:to>
      <xdr:col>16</xdr:col>
      <xdr:colOff>190500</xdr:colOff>
      <xdr:row>141</xdr:row>
      <xdr:rowOff>127000</xdr:rowOff>
    </xdr:to>
    <xdr:sp macro="" textlink="">
      <xdr:nvSpPr>
        <xdr:cNvPr id="589" name="OpenSolver28">
          <a:extLst>
            <a:ext uri="{FF2B5EF4-FFF2-40B4-BE49-F238E27FC236}">
              <a16:creationId xmlns:a16="http://schemas.microsoft.com/office/drawing/2014/main" xmlns="" id="{00000000-0008-0000-0200-00004D020000}"/>
            </a:ext>
          </a:extLst>
        </xdr:cNvPr>
        <xdr:cNvSpPr/>
      </xdr:nvSpPr>
      <xdr:spPr>
        <a:xfrm>
          <a:off x="9563100" y="26733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304</xdr:row>
      <xdr:rowOff>0</xdr:rowOff>
    </xdr:from>
    <xdr:to>
      <xdr:col>9</xdr:col>
      <xdr:colOff>0</xdr:colOff>
      <xdr:row>313</xdr:row>
      <xdr:rowOff>0</xdr:rowOff>
    </xdr:to>
    <xdr:sp macro="" textlink="">
      <xdr:nvSpPr>
        <xdr:cNvPr id="590" name="OpenSolver29">
          <a:extLst>
            <a:ext uri="{FF2B5EF4-FFF2-40B4-BE49-F238E27FC236}">
              <a16:creationId xmlns:a16="http://schemas.microsoft.com/office/drawing/2014/main" xmlns="" id="{00000000-0008-0000-0200-00004E020000}"/>
            </a:ext>
          </a:extLst>
        </xdr:cNvPr>
        <xdr:cNvSpPr/>
      </xdr:nvSpPr>
      <xdr:spPr>
        <a:xfrm>
          <a:off x="48768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24</xdr:col>
      <xdr:colOff>0</xdr:colOff>
      <xdr:row>4</xdr:row>
      <xdr:rowOff>0</xdr:rowOff>
    </xdr:from>
    <xdr:to>
      <xdr:col>25</xdr:col>
      <xdr:colOff>0</xdr:colOff>
      <xdr:row>5</xdr:row>
      <xdr:rowOff>0</xdr:rowOff>
    </xdr:to>
    <xdr:sp macro="" textlink="">
      <xdr:nvSpPr>
        <xdr:cNvPr id="591" name="OpenSolver30">
          <a:extLst>
            <a:ext uri="{FF2B5EF4-FFF2-40B4-BE49-F238E27FC236}">
              <a16:creationId xmlns:a16="http://schemas.microsoft.com/office/drawing/2014/main" xmlns="" id="{00000000-0008-0000-0200-00004F020000}"/>
            </a:ext>
          </a:extLst>
        </xdr:cNvPr>
        <xdr:cNvSpPr/>
      </xdr:nvSpPr>
      <xdr:spPr>
        <a:xfrm>
          <a:off x="1463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24</xdr:col>
      <xdr:colOff>304800</xdr:colOff>
      <xdr:row>304</xdr:row>
      <xdr:rowOff>0</xdr:rowOff>
    </xdr:to>
    <xdr:cxnSp macro="">
      <xdr:nvCxnSpPr>
        <xdr:cNvPr id="592" name="OpenSolver31">
          <a:extLst>
            <a:ext uri="{FF2B5EF4-FFF2-40B4-BE49-F238E27FC236}">
              <a16:creationId xmlns:a16="http://schemas.microsoft.com/office/drawing/2014/main" xmlns="" id="{00000000-0008-0000-0200-000050020000}"/>
            </a:ext>
          </a:extLst>
        </xdr:cNvPr>
        <xdr:cNvCxnSpPr>
          <a:stCxn id="590" idx="0"/>
          <a:endCxn id="591" idx="2"/>
        </xdr:cNvCxnSpPr>
      </xdr:nvCxnSpPr>
      <xdr:spPr>
        <a:xfrm flipV="1">
          <a:off x="5181600" y="952500"/>
          <a:ext cx="9753600" cy="569595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153</xdr:row>
      <xdr:rowOff>158750</xdr:rowOff>
    </xdr:from>
    <xdr:to>
      <xdr:col>16</xdr:col>
      <xdr:colOff>495300</xdr:colOff>
      <xdr:row>155</xdr:row>
      <xdr:rowOff>31750</xdr:rowOff>
    </xdr:to>
    <xdr:sp macro="" textlink="">
      <xdr:nvSpPr>
        <xdr:cNvPr id="593" name="OpenSolver32">
          <a:extLst>
            <a:ext uri="{FF2B5EF4-FFF2-40B4-BE49-F238E27FC236}">
              <a16:creationId xmlns:a16="http://schemas.microsoft.com/office/drawing/2014/main" xmlns="" id="{00000000-0008-0000-0200-000051020000}"/>
            </a:ext>
          </a:extLst>
        </xdr:cNvPr>
        <xdr:cNvSpPr/>
      </xdr:nvSpPr>
      <xdr:spPr>
        <a:xfrm>
          <a:off x="9867900" y="29305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313</xdr:row>
      <xdr:rowOff>0</xdr:rowOff>
    </xdr:from>
    <xdr:to>
      <xdr:col>9</xdr:col>
      <xdr:colOff>0</xdr:colOff>
      <xdr:row>315</xdr:row>
      <xdr:rowOff>0</xdr:rowOff>
    </xdr:to>
    <xdr:sp macro="" textlink="">
      <xdr:nvSpPr>
        <xdr:cNvPr id="594" name="OpenSolver33">
          <a:extLst>
            <a:ext uri="{FF2B5EF4-FFF2-40B4-BE49-F238E27FC236}">
              <a16:creationId xmlns:a16="http://schemas.microsoft.com/office/drawing/2014/main" xmlns="" id="{00000000-0008-0000-0200-000052020000}"/>
            </a:ext>
          </a:extLst>
        </xdr:cNvPr>
        <xdr:cNvSpPr/>
      </xdr:nvSpPr>
      <xdr:spPr>
        <a:xfrm>
          <a:off x="48768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25</xdr:col>
      <xdr:colOff>0</xdr:colOff>
      <xdr:row>4</xdr:row>
      <xdr:rowOff>0</xdr:rowOff>
    </xdr:from>
    <xdr:to>
      <xdr:col>26</xdr:col>
      <xdr:colOff>0</xdr:colOff>
      <xdr:row>5</xdr:row>
      <xdr:rowOff>0</xdr:rowOff>
    </xdr:to>
    <xdr:sp macro="" textlink="">
      <xdr:nvSpPr>
        <xdr:cNvPr id="595" name="OpenSolver34">
          <a:extLst>
            <a:ext uri="{FF2B5EF4-FFF2-40B4-BE49-F238E27FC236}">
              <a16:creationId xmlns:a16="http://schemas.microsoft.com/office/drawing/2014/main" xmlns="" id="{00000000-0008-0000-0200-000053020000}"/>
            </a:ext>
          </a:extLst>
        </xdr:cNvPr>
        <xdr:cNvSpPr/>
      </xdr:nvSpPr>
      <xdr:spPr>
        <a:xfrm>
          <a:off x="1524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25</xdr:col>
      <xdr:colOff>304800</xdr:colOff>
      <xdr:row>313</xdr:row>
      <xdr:rowOff>0</xdr:rowOff>
    </xdr:to>
    <xdr:cxnSp macro="">
      <xdr:nvCxnSpPr>
        <xdr:cNvPr id="596" name="OpenSolver35">
          <a:extLst>
            <a:ext uri="{FF2B5EF4-FFF2-40B4-BE49-F238E27FC236}">
              <a16:creationId xmlns:a16="http://schemas.microsoft.com/office/drawing/2014/main" xmlns="" id="{00000000-0008-0000-0200-000054020000}"/>
            </a:ext>
          </a:extLst>
        </xdr:cNvPr>
        <xdr:cNvCxnSpPr>
          <a:stCxn id="594" idx="0"/>
          <a:endCxn id="595" idx="2"/>
        </xdr:cNvCxnSpPr>
      </xdr:nvCxnSpPr>
      <xdr:spPr>
        <a:xfrm flipV="1">
          <a:off x="5181600" y="952500"/>
          <a:ext cx="10363200" cy="58674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419100</xdr:colOff>
      <xdr:row>158</xdr:row>
      <xdr:rowOff>63500</xdr:rowOff>
    </xdr:from>
    <xdr:to>
      <xdr:col>17</xdr:col>
      <xdr:colOff>190500</xdr:colOff>
      <xdr:row>159</xdr:row>
      <xdr:rowOff>127000</xdr:rowOff>
    </xdr:to>
    <xdr:sp macro="" textlink="">
      <xdr:nvSpPr>
        <xdr:cNvPr id="597" name="OpenSolver36">
          <a:extLst>
            <a:ext uri="{FF2B5EF4-FFF2-40B4-BE49-F238E27FC236}">
              <a16:creationId xmlns:a16="http://schemas.microsoft.com/office/drawing/2014/main" xmlns="" id="{00000000-0008-0000-0200-000055020000}"/>
            </a:ext>
          </a:extLst>
        </xdr:cNvPr>
        <xdr:cNvSpPr/>
      </xdr:nvSpPr>
      <xdr:spPr>
        <a:xfrm>
          <a:off x="10172700" y="30162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315</xdr:row>
      <xdr:rowOff>0</xdr:rowOff>
    </xdr:from>
    <xdr:to>
      <xdr:col>9</xdr:col>
      <xdr:colOff>0</xdr:colOff>
      <xdr:row>317</xdr:row>
      <xdr:rowOff>0</xdr:rowOff>
    </xdr:to>
    <xdr:sp macro="" textlink="">
      <xdr:nvSpPr>
        <xdr:cNvPr id="598" name="OpenSolver37">
          <a:extLst>
            <a:ext uri="{FF2B5EF4-FFF2-40B4-BE49-F238E27FC236}">
              <a16:creationId xmlns:a16="http://schemas.microsoft.com/office/drawing/2014/main" xmlns="" id="{00000000-0008-0000-0200-000056020000}"/>
            </a:ext>
          </a:extLst>
        </xdr:cNvPr>
        <xdr:cNvSpPr/>
      </xdr:nvSpPr>
      <xdr:spPr>
        <a:xfrm>
          <a:off x="48768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26</xdr:col>
      <xdr:colOff>0</xdr:colOff>
      <xdr:row>4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99" name="OpenSolver38">
          <a:extLst>
            <a:ext uri="{FF2B5EF4-FFF2-40B4-BE49-F238E27FC236}">
              <a16:creationId xmlns:a16="http://schemas.microsoft.com/office/drawing/2014/main" xmlns="" id="{00000000-0008-0000-0200-000057020000}"/>
            </a:ext>
          </a:extLst>
        </xdr:cNvPr>
        <xdr:cNvSpPr/>
      </xdr:nvSpPr>
      <xdr:spPr>
        <a:xfrm>
          <a:off x="1584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304800</xdr:colOff>
      <xdr:row>5</xdr:row>
      <xdr:rowOff>0</xdr:rowOff>
    </xdr:from>
    <xdr:to>
      <xdr:col>26</xdr:col>
      <xdr:colOff>304800</xdr:colOff>
      <xdr:row>315</xdr:row>
      <xdr:rowOff>0</xdr:rowOff>
    </xdr:to>
    <xdr:cxnSp macro="">
      <xdr:nvCxnSpPr>
        <xdr:cNvPr id="600" name="OpenSolver39">
          <a:extLst>
            <a:ext uri="{FF2B5EF4-FFF2-40B4-BE49-F238E27FC236}">
              <a16:creationId xmlns:a16="http://schemas.microsoft.com/office/drawing/2014/main" xmlns="" id="{00000000-0008-0000-0200-000058020000}"/>
            </a:ext>
          </a:extLst>
        </xdr:cNvPr>
        <xdr:cNvCxnSpPr>
          <a:stCxn id="598" idx="0"/>
          <a:endCxn id="599" idx="2"/>
        </xdr:cNvCxnSpPr>
      </xdr:nvCxnSpPr>
      <xdr:spPr>
        <a:xfrm flipV="1">
          <a:off x="5181600" y="952500"/>
          <a:ext cx="10972800" cy="59055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114300</xdr:colOff>
      <xdr:row>159</xdr:row>
      <xdr:rowOff>63500</xdr:rowOff>
    </xdr:from>
    <xdr:to>
      <xdr:col>17</xdr:col>
      <xdr:colOff>495300</xdr:colOff>
      <xdr:row>160</xdr:row>
      <xdr:rowOff>127000</xdr:rowOff>
    </xdr:to>
    <xdr:sp macro="" textlink="">
      <xdr:nvSpPr>
        <xdr:cNvPr id="601" name="OpenSolver40">
          <a:extLst>
            <a:ext uri="{FF2B5EF4-FFF2-40B4-BE49-F238E27FC236}">
              <a16:creationId xmlns:a16="http://schemas.microsoft.com/office/drawing/2014/main" xmlns="" id="{00000000-0008-0000-0200-000059020000}"/>
            </a:ext>
          </a:extLst>
        </xdr:cNvPr>
        <xdr:cNvSpPr/>
      </xdr:nvSpPr>
      <xdr:spPr>
        <a:xfrm>
          <a:off x="10477500" y="30353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602" name="OpenSolver41">
          <a:extLst>
            <a:ext uri="{FF2B5EF4-FFF2-40B4-BE49-F238E27FC236}">
              <a16:creationId xmlns:a16="http://schemas.microsoft.com/office/drawing/2014/main" xmlns="" id="{00000000-0008-0000-0200-00005A020000}"/>
            </a:ext>
          </a:extLst>
        </xdr:cNvPr>
        <xdr:cNvSpPr/>
      </xdr:nvSpPr>
      <xdr:spPr>
        <a:xfrm>
          <a:off x="54864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27</xdr:col>
      <xdr:colOff>0</xdr:colOff>
      <xdr:row>4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603" name="OpenSolver42">
          <a:extLst>
            <a:ext uri="{FF2B5EF4-FFF2-40B4-BE49-F238E27FC236}">
              <a16:creationId xmlns:a16="http://schemas.microsoft.com/office/drawing/2014/main" xmlns="" id="{00000000-0008-0000-0200-00005B020000}"/>
            </a:ext>
          </a:extLst>
        </xdr:cNvPr>
        <xdr:cNvSpPr/>
      </xdr:nvSpPr>
      <xdr:spPr>
        <a:xfrm>
          <a:off x="1645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27</xdr:col>
      <xdr:colOff>0</xdr:colOff>
      <xdr:row>18</xdr:row>
      <xdr:rowOff>0</xdr:rowOff>
    </xdr:to>
    <xdr:cxnSp macro="">
      <xdr:nvCxnSpPr>
        <xdr:cNvPr id="604" name="OpenSolver43">
          <a:extLst>
            <a:ext uri="{FF2B5EF4-FFF2-40B4-BE49-F238E27FC236}">
              <a16:creationId xmlns:a16="http://schemas.microsoft.com/office/drawing/2014/main" xmlns="" id="{00000000-0008-0000-0200-00005C020000}"/>
            </a:ext>
          </a:extLst>
        </xdr:cNvPr>
        <xdr:cNvCxnSpPr>
          <a:stCxn id="602" idx="0"/>
          <a:endCxn id="603" idx="1"/>
        </xdr:cNvCxnSpPr>
      </xdr:nvCxnSpPr>
      <xdr:spPr>
        <a:xfrm flipV="1">
          <a:off x="5791200" y="857250"/>
          <a:ext cx="10668000" cy="2571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571500</xdr:colOff>
      <xdr:row>10</xdr:row>
      <xdr:rowOff>111125</xdr:rowOff>
    </xdr:from>
    <xdr:to>
      <xdr:col>18</xdr:col>
      <xdr:colOff>342900</xdr:colOff>
      <xdr:row>11</xdr:row>
      <xdr:rowOff>174625</xdr:rowOff>
    </xdr:to>
    <xdr:sp macro="" textlink="">
      <xdr:nvSpPr>
        <xdr:cNvPr id="605" name="OpenSolver44">
          <a:extLst>
            <a:ext uri="{FF2B5EF4-FFF2-40B4-BE49-F238E27FC236}">
              <a16:creationId xmlns:a16="http://schemas.microsoft.com/office/drawing/2014/main" xmlns="" id="{00000000-0008-0000-0200-00005D020000}"/>
            </a:ext>
          </a:extLst>
        </xdr:cNvPr>
        <xdr:cNvSpPr/>
      </xdr:nvSpPr>
      <xdr:spPr>
        <a:xfrm>
          <a:off x="10934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606" name="OpenSolver45">
          <a:extLst>
            <a:ext uri="{FF2B5EF4-FFF2-40B4-BE49-F238E27FC236}">
              <a16:creationId xmlns:a16="http://schemas.microsoft.com/office/drawing/2014/main" xmlns="" id="{00000000-0008-0000-0200-00005E020000}"/>
            </a:ext>
          </a:extLst>
        </xdr:cNvPr>
        <xdr:cNvSpPr/>
      </xdr:nvSpPr>
      <xdr:spPr>
        <a:xfrm>
          <a:off x="54864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28</xdr:col>
      <xdr:colOff>0</xdr:colOff>
      <xdr:row>4</xdr:row>
      <xdr:rowOff>0</xdr:rowOff>
    </xdr:from>
    <xdr:to>
      <xdr:col>29</xdr:col>
      <xdr:colOff>0</xdr:colOff>
      <xdr:row>5</xdr:row>
      <xdr:rowOff>0</xdr:rowOff>
    </xdr:to>
    <xdr:sp macro="" textlink="">
      <xdr:nvSpPr>
        <xdr:cNvPr id="607" name="OpenSolver46">
          <a:extLst>
            <a:ext uri="{FF2B5EF4-FFF2-40B4-BE49-F238E27FC236}">
              <a16:creationId xmlns:a16="http://schemas.microsoft.com/office/drawing/2014/main" xmlns="" id="{00000000-0008-0000-0200-00005F020000}"/>
            </a:ext>
          </a:extLst>
        </xdr:cNvPr>
        <xdr:cNvSpPr/>
      </xdr:nvSpPr>
      <xdr:spPr>
        <a:xfrm>
          <a:off x="1706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28</xdr:col>
      <xdr:colOff>0</xdr:colOff>
      <xdr:row>102</xdr:row>
      <xdr:rowOff>0</xdr:rowOff>
    </xdr:to>
    <xdr:cxnSp macro="">
      <xdr:nvCxnSpPr>
        <xdr:cNvPr id="608" name="OpenSolver47">
          <a:extLst>
            <a:ext uri="{FF2B5EF4-FFF2-40B4-BE49-F238E27FC236}">
              <a16:creationId xmlns:a16="http://schemas.microsoft.com/office/drawing/2014/main" xmlns="" id="{00000000-0008-0000-0200-000060020000}"/>
            </a:ext>
          </a:extLst>
        </xdr:cNvPr>
        <xdr:cNvCxnSpPr>
          <a:stCxn id="606" idx="0"/>
          <a:endCxn id="607" idx="1"/>
        </xdr:cNvCxnSpPr>
      </xdr:nvCxnSpPr>
      <xdr:spPr>
        <a:xfrm flipV="1">
          <a:off x="5791200" y="857250"/>
          <a:ext cx="11277600" cy="1857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266700</xdr:colOff>
      <xdr:row>52</xdr:row>
      <xdr:rowOff>111125</xdr:rowOff>
    </xdr:from>
    <xdr:to>
      <xdr:col>19</xdr:col>
      <xdr:colOff>38100</xdr:colOff>
      <xdr:row>53</xdr:row>
      <xdr:rowOff>174625</xdr:rowOff>
    </xdr:to>
    <xdr:sp macro="" textlink="">
      <xdr:nvSpPr>
        <xdr:cNvPr id="609" name="OpenSolver48">
          <a:extLst>
            <a:ext uri="{FF2B5EF4-FFF2-40B4-BE49-F238E27FC236}">
              <a16:creationId xmlns:a16="http://schemas.microsoft.com/office/drawing/2014/main" xmlns="" id="{00000000-0008-0000-0200-000061020000}"/>
            </a:ext>
          </a:extLst>
        </xdr:cNvPr>
        <xdr:cNvSpPr/>
      </xdr:nvSpPr>
      <xdr:spPr>
        <a:xfrm>
          <a:off x="11239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610" name="OpenSolver49">
          <a:extLst>
            <a:ext uri="{FF2B5EF4-FFF2-40B4-BE49-F238E27FC236}">
              <a16:creationId xmlns:a16="http://schemas.microsoft.com/office/drawing/2014/main" xmlns="" id="{00000000-0008-0000-0200-000062020000}"/>
            </a:ext>
          </a:extLst>
        </xdr:cNvPr>
        <xdr:cNvSpPr/>
      </xdr:nvSpPr>
      <xdr:spPr>
        <a:xfrm>
          <a:off x="54864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29</xdr:col>
      <xdr:colOff>0</xdr:colOff>
      <xdr:row>4</xdr:row>
      <xdr:rowOff>0</xdr:rowOff>
    </xdr:from>
    <xdr:to>
      <xdr:col>30</xdr:col>
      <xdr:colOff>0</xdr:colOff>
      <xdr:row>5</xdr:row>
      <xdr:rowOff>0</xdr:rowOff>
    </xdr:to>
    <xdr:sp macro="" textlink="">
      <xdr:nvSpPr>
        <xdr:cNvPr id="611" name="OpenSolver50">
          <a:extLst>
            <a:ext uri="{FF2B5EF4-FFF2-40B4-BE49-F238E27FC236}">
              <a16:creationId xmlns:a16="http://schemas.microsoft.com/office/drawing/2014/main" xmlns="" id="{00000000-0008-0000-0200-000063020000}"/>
            </a:ext>
          </a:extLst>
        </xdr:cNvPr>
        <xdr:cNvSpPr/>
      </xdr:nvSpPr>
      <xdr:spPr>
        <a:xfrm>
          <a:off x="1767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29</xdr:col>
      <xdr:colOff>0</xdr:colOff>
      <xdr:row>127</xdr:row>
      <xdr:rowOff>0</xdr:rowOff>
    </xdr:to>
    <xdr:cxnSp macro="">
      <xdr:nvCxnSpPr>
        <xdr:cNvPr id="612" name="OpenSolver51">
          <a:extLst>
            <a:ext uri="{FF2B5EF4-FFF2-40B4-BE49-F238E27FC236}">
              <a16:creationId xmlns:a16="http://schemas.microsoft.com/office/drawing/2014/main" xmlns="" id="{00000000-0008-0000-0200-000064020000}"/>
            </a:ext>
          </a:extLst>
        </xdr:cNvPr>
        <xdr:cNvCxnSpPr>
          <a:stCxn id="610" idx="0"/>
          <a:endCxn id="611" idx="1"/>
        </xdr:cNvCxnSpPr>
      </xdr:nvCxnSpPr>
      <xdr:spPr>
        <a:xfrm flipV="1">
          <a:off x="5791200" y="857250"/>
          <a:ext cx="11887200" cy="23336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571500</xdr:colOff>
      <xdr:row>65</xdr:row>
      <xdr:rowOff>15875</xdr:rowOff>
    </xdr:from>
    <xdr:to>
      <xdr:col>19</xdr:col>
      <xdr:colOff>342900</xdr:colOff>
      <xdr:row>66</xdr:row>
      <xdr:rowOff>79375</xdr:rowOff>
    </xdr:to>
    <xdr:sp macro="" textlink="">
      <xdr:nvSpPr>
        <xdr:cNvPr id="613" name="OpenSolver52">
          <a:extLst>
            <a:ext uri="{FF2B5EF4-FFF2-40B4-BE49-F238E27FC236}">
              <a16:creationId xmlns:a16="http://schemas.microsoft.com/office/drawing/2014/main" xmlns="" id="{00000000-0008-0000-0200-000065020000}"/>
            </a:ext>
          </a:extLst>
        </xdr:cNvPr>
        <xdr:cNvSpPr/>
      </xdr:nvSpPr>
      <xdr:spPr>
        <a:xfrm>
          <a:off x="115443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142</xdr:row>
      <xdr:rowOff>0</xdr:rowOff>
    </xdr:to>
    <xdr:sp macro="" textlink="">
      <xdr:nvSpPr>
        <xdr:cNvPr id="614" name="OpenSolver53">
          <a:extLst>
            <a:ext uri="{FF2B5EF4-FFF2-40B4-BE49-F238E27FC236}">
              <a16:creationId xmlns:a16="http://schemas.microsoft.com/office/drawing/2014/main" xmlns="" id="{00000000-0008-0000-0200-000066020000}"/>
            </a:ext>
          </a:extLst>
        </xdr:cNvPr>
        <xdr:cNvSpPr/>
      </xdr:nvSpPr>
      <xdr:spPr>
        <a:xfrm>
          <a:off x="54864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30</xdr:col>
      <xdr:colOff>0</xdr:colOff>
      <xdr:row>4</xdr:row>
      <xdr:rowOff>0</xdr:rowOff>
    </xdr:from>
    <xdr:to>
      <xdr:col>31</xdr:col>
      <xdr:colOff>0</xdr:colOff>
      <xdr:row>5</xdr:row>
      <xdr:rowOff>0</xdr:rowOff>
    </xdr:to>
    <xdr:sp macro="" textlink="">
      <xdr:nvSpPr>
        <xdr:cNvPr id="615" name="OpenSolver54">
          <a:extLst>
            <a:ext uri="{FF2B5EF4-FFF2-40B4-BE49-F238E27FC236}">
              <a16:creationId xmlns:a16="http://schemas.microsoft.com/office/drawing/2014/main" xmlns="" id="{00000000-0008-0000-0200-000067020000}"/>
            </a:ext>
          </a:extLst>
        </xdr:cNvPr>
        <xdr:cNvSpPr/>
      </xdr:nvSpPr>
      <xdr:spPr>
        <a:xfrm>
          <a:off x="1828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30</xdr:col>
      <xdr:colOff>0</xdr:colOff>
      <xdr:row>135</xdr:row>
      <xdr:rowOff>0</xdr:rowOff>
    </xdr:to>
    <xdr:cxnSp macro="">
      <xdr:nvCxnSpPr>
        <xdr:cNvPr id="616" name="OpenSolver55">
          <a:extLst>
            <a:ext uri="{FF2B5EF4-FFF2-40B4-BE49-F238E27FC236}">
              <a16:creationId xmlns:a16="http://schemas.microsoft.com/office/drawing/2014/main" xmlns="" id="{00000000-0008-0000-0200-000068020000}"/>
            </a:ext>
          </a:extLst>
        </xdr:cNvPr>
        <xdr:cNvCxnSpPr>
          <a:stCxn id="614" idx="0"/>
          <a:endCxn id="615" idx="1"/>
        </xdr:cNvCxnSpPr>
      </xdr:nvCxnSpPr>
      <xdr:spPr>
        <a:xfrm flipV="1">
          <a:off x="5791200" y="857250"/>
          <a:ext cx="12496800" cy="24860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266700</xdr:colOff>
      <xdr:row>69</xdr:row>
      <xdr:rowOff>15875</xdr:rowOff>
    </xdr:from>
    <xdr:to>
      <xdr:col>20</xdr:col>
      <xdr:colOff>38100</xdr:colOff>
      <xdr:row>70</xdr:row>
      <xdr:rowOff>79375</xdr:rowOff>
    </xdr:to>
    <xdr:sp macro="" textlink="">
      <xdr:nvSpPr>
        <xdr:cNvPr id="617" name="OpenSolver56">
          <a:extLst>
            <a:ext uri="{FF2B5EF4-FFF2-40B4-BE49-F238E27FC236}">
              <a16:creationId xmlns:a16="http://schemas.microsoft.com/office/drawing/2014/main" xmlns="" id="{00000000-0008-0000-0200-000069020000}"/>
            </a:ext>
          </a:extLst>
        </xdr:cNvPr>
        <xdr:cNvSpPr/>
      </xdr:nvSpPr>
      <xdr:spPr>
        <a:xfrm>
          <a:off x="11849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142</xdr:row>
      <xdr:rowOff>0</xdr:rowOff>
    </xdr:from>
    <xdr:to>
      <xdr:col>10</xdr:col>
      <xdr:colOff>0</xdr:colOff>
      <xdr:row>277</xdr:row>
      <xdr:rowOff>0</xdr:rowOff>
    </xdr:to>
    <xdr:sp macro="" textlink="">
      <xdr:nvSpPr>
        <xdr:cNvPr id="618" name="OpenSolver57">
          <a:extLst>
            <a:ext uri="{FF2B5EF4-FFF2-40B4-BE49-F238E27FC236}">
              <a16:creationId xmlns:a16="http://schemas.microsoft.com/office/drawing/2014/main" xmlns="" id="{00000000-0008-0000-0200-00006A020000}"/>
            </a:ext>
          </a:extLst>
        </xdr:cNvPr>
        <xdr:cNvSpPr/>
      </xdr:nvSpPr>
      <xdr:spPr>
        <a:xfrm>
          <a:off x="54864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31</xdr:col>
      <xdr:colOff>0</xdr:colOff>
      <xdr:row>4</xdr:row>
      <xdr:rowOff>0</xdr:rowOff>
    </xdr:from>
    <xdr:to>
      <xdr:col>32</xdr:col>
      <xdr:colOff>0</xdr:colOff>
      <xdr:row>5</xdr:row>
      <xdr:rowOff>0</xdr:rowOff>
    </xdr:to>
    <xdr:sp macro="" textlink="">
      <xdr:nvSpPr>
        <xdr:cNvPr id="619" name="OpenSolver58">
          <a:extLst>
            <a:ext uri="{FF2B5EF4-FFF2-40B4-BE49-F238E27FC236}">
              <a16:creationId xmlns:a16="http://schemas.microsoft.com/office/drawing/2014/main" xmlns="" id="{00000000-0008-0000-0200-00006B020000}"/>
            </a:ext>
          </a:extLst>
        </xdr:cNvPr>
        <xdr:cNvSpPr/>
      </xdr:nvSpPr>
      <xdr:spPr>
        <a:xfrm>
          <a:off x="1889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4</xdr:row>
      <xdr:rowOff>95250</xdr:rowOff>
    </xdr:from>
    <xdr:to>
      <xdr:col>31</xdr:col>
      <xdr:colOff>0</xdr:colOff>
      <xdr:row>142</xdr:row>
      <xdr:rowOff>0</xdr:rowOff>
    </xdr:to>
    <xdr:cxnSp macro="">
      <xdr:nvCxnSpPr>
        <xdr:cNvPr id="620" name="OpenSolver59">
          <a:extLst>
            <a:ext uri="{FF2B5EF4-FFF2-40B4-BE49-F238E27FC236}">
              <a16:creationId xmlns:a16="http://schemas.microsoft.com/office/drawing/2014/main" xmlns="" id="{00000000-0008-0000-0200-00006C020000}"/>
            </a:ext>
          </a:extLst>
        </xdr:cNvPr>
        <xdr:cNvCxnSpPr>
          <a:stCxn id="618" idx="0"/>
          <a:endCxn id="619" idx="1"/>
        </xdr:cNvCxnSpPr>
      </xdr:nvCxnSpPr>
      <xdr:spPr>
        <a:xfrm flipV="1">
          <a:off x="5791200" y="857250"/>
          <a:ext cx="13106400" cy="2619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571500</xdr:colOff>
      <xdr:row>72</xdr:row>
      <xdr:rowOff>111125</xdr:rowOff>
    </xdr:from>
    <xdr:to>
      <xdr:col>20</xdr:col>
      <xdr:colOff>342900</xdr:colOff>
      <xdr:row>73</xdr:row>
      <xdr:rowOff>174625</xdr:rowOff>
    </xdr:to>
    <xdr:sp macro="" textlink="">
      <xdr:nvSpPr>
        <xdr:cNvPr id="621" name="OpenSolver60">
          <a:extLst>
            <a:ext uri="{FF2B5EF4-FFF2-40B4-BE49-F238E27FC236}">
              <a16:creationId xmlns:a16="http://schemas.microsoft.com/office/drawing/2014/main" xmlns="" id="{00000000-0008-0000-0200-00006D020000}"/>
            </a:ext>
          </a:extLst>
        </xdr:cNvPr>
        <xdr:cNvSpPr/>
      </xdr:nvSpPr>
      <xdr:spPr>
        <a:xfrm>
          <a:off x="12153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277</xdr:row>
      <xdr:rowOff>0</xdr:rowOff>
    </xdr:from>
    <xdr:to>
      <xdr:col>10</xdr:col>
      <xdr:colOff>0</xdr:colOff>
      <xdr:row>304</xdr:row>
      <xdr:rowOff>0</xdr:rowOff>
    </xdr:to>
    <xdr:sp macro="" textlink="">
      <xdr:nvSpPr>
        <xdr:cNvPr id="622" name="OpenSolver61">
          <a:extLst>
            <a:ext uri="{FF2B5EF4-FFF2-40B4-BE49-F238E27FC236}">
              <a16:creationId xmlns:a16="http://schemas.microsoft.com/office/drawing/2014/main" xmlns="" id="{00000000-0008-0000-0200-00006E020000}"/>
            </a:ext>
          </a:extLst>
        </xdr:cNvPr>
        <xdr:cNvSpPr/>
      </xdr:nvSpPr>
      <xdr:spPr>
        <a:xfrm>
          <a:off x="54864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32</xdr:col>
      <xdr:colOff>0</xdr:colOff>
      <xdr:row>4</xdr:row>
      <xdr:rowOff>0</xdr:rowOff>
    </xdr:from>
    <xdr:to>
      <xdr:col>33</xdr:col>
      <xdr:colOff>0</xdr:colOff>
      <xdr:row>5</xdr:row>
      <xdr:rowOff>0</xdr:rowOff>
    </xdr:to>
    <xdr:sp macro="" textlink="">
      <xdr:nvSpPr>
        <xdr:cNvPr id="623" name="OpenSolver62">
          <a:extLst>
            <a:ext uri="{FF2B5EF4-FFF2-40B4-BE49-F238E27FC236}">
              <a16:creationId xmlns:a16="http://schemas.microsoft.com/office/drawing/2014/main" xmlns="" id="{00000000-0008-0000-0200-00006F020000}"/>
            </a:ext>
          </a:extLst>
        </xdr:cNvPr>
        <xdr:cNvSpPr/>
      </xdr:nvSpPr>
      <xdr:spPr>
        <a:xfrm>
          <a:off x="1950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32</xdr:col>
      <xdr:colOff>304800</xdr:colOff>
      <xdr:row>277</xdr:row>
      <xdr:rowOff>0</xdr:rowOff>
    </xdr:to>
    <xdr:cxnSp macro="">
      <xdr:nvCxnSpPr>
        <xdr:cNvPr id="624" name="OpenSolver63">
          <a:extLst>
            <a:ext uri="{FF2B5EF4-FFF2-40B4-BE49-F238E27FC236}">
              <a16:creationId xmlns:a16="http://schemas.microsoft.com/office/drawing/2014/main" xmlns="" id="{00000000-0008-0000-0200-000070020000}"/>
            </a:ext>
          </a:extLst>
        </xdr:cNvPr>
        <xdr:cNvCxnSpPr>
          <a:stCxn id="622" idx="0"/>
          <a:endCxn id="623" idx="2"/>
        </xdr:cNvCxnSpPr>
      </xdr:nvCxnSpPr>
      <xdr:spPr>
        <a:xfrm flipV="1">
          <a:off x="5791200" y="952500"/>
          <a:ext cx="14020800" cy="518160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419100</xdr:colOff>
      <xdr:row>140</xdr:row>
      <xdr:rowOff>63500</xdr:rowOff>
    </xdr:from>
    <xdr:to>
      <xdr:col>21</xdr:col>
      <xdr:colOff>190500</xdr:colOff>
      <xdr:row>141</xdr:row>
      <xdr:rowOff>127000</xdr:rowOff>
    </xdr:to>
    <xdr:sp macro="" textlink="">
      <xdr:nvSpPr>
        <xdr:cNvPr id="625" name="OpenSolver64">
          <a:extLst>
            <a:ext uri="{FF2B5EF4-FFF2-40B4-BE49-F238E27FC236}">
              <a16:creationId xmlns:a16="http://schemas.microsoft.com/office/drawing/2014/main" xmlns="" id="{00000000-0008-0000-0200-000071020000}"/>
            </a:ext>
          </a:extLst>
        </xdr:cNvPr>
        <xdr:cNvSpPr/>
      </xdr:nvSpPr>
      <xdr:spPr>
        <a:xfrm>
          <a:off x="12611100" y="26733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304</xdr:row>
      <xdr:rowOff>0</xdr:rowOff>
    </xdr:from>
    <xdr:to>
      <xdr:col>10</xdr:col>
      <xdr:colOff>0</xdr:colOff>
      <xdr:row>313</xdr:row>
      <xdr:rowOff>0</xdr:rowOff>
    </xdr:to>
    <xdr:sp macro="" textlink="">
      <xdr:nvSpPr>
        <xdr:cNvPr id="626" name="OpenSolver65">
          <a:extLst>
            <a:ext uri="{FF2B5EF4-FFF2-40B4-BE49-F238E27FC236}">
              <a16:creationId xmlns:a16="http://schemas.microsoft.com/office/drawing/2014/main" xmlns="" id="{00000000-0008-0000-0200-000072020000}"/>
            </a:ext>
          </a:extLst>
        </xdr:cNvPr>
        <xdr:cNvSpPr/>
      </xdr:nvSpPr>
      <xdr:spPr>
        <a:xfrm>
          <a:off x="54864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33</xdr:col>
      <xdr:colOff>0</xdr:colOff>
      <xdr:row>4</xdr:row>
      <xdr:rowOff>0</xdr:rowOff>
    </xdr:from>
    <xdr:to>
      <xdr:col>34</xdr:col>
      <xdr:colOff>0</xdr:colOff>
      <xdr:row>5</xdr:row>
      <xdr:rowOff>0</xdr:rowOff>
    </xdr:to>
    <xdr:sp macro="" textlink="">
      <xdr:nvSpPr>
        <xdr:cNvPr id="627" name="OpenSolver66">
          <a:extLst>
            <a:ext uri="{FF2B5EF4-FFF2-40B4-BE49-F238E27FC236}">
              <a16:creationId xmlns:a16="http://schemas.microsoft.com/office/drawing/2014/main" xmlns="" id="{00000000-0008-0000-0200-000073020000}"/>
            </a:ext>
          </a:extLst>
        </xdr:cNvPr>
        <xdr:cNvSpPr/>
      </xdr:nvSpPr>
      <xdr:spPr>
        <a:xfrm>
          <a:off x="2011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33</xdr:col>
      <xdr:colOff>304800</xdr:colOff>
      <xdr:row>304</xdr:row>
      <xdr:rowOff>0</xdr:rowOff>
    </xdr:to>
    <xdr:cxnSp macro="">
      <xdr:nvCxnSpPr>
        <xdr:cNvPr id="628" name="OpenSolver67">
          <a:extLst>
            <a:ext uri="{FF2B5EF4-FFF2-40B4-BE49-F238E27FC236}">
              <a16:creationId xmlns:a16="http://schemas.microsoft.com/office/drawing/2014/main" xmlns="" id="{00000000-0008-0000-0200-000074020000}"/>
            </a:ext>
          </a:extLst>
        </xdr:cNvPr>
        <xdr:cNvCxnSpPr>
          <a:stCxn id="626" idx="0"/>
          <a:endCxn id="627" idx="2"/>
        </xdr:cNvCxnSpPr>
      </xdr:nvCxnSpPr>
      <xdr:spPr>
        <a:xfrm flipV="1">
          <a:off x="5791200" y="952500"/>
          <a:ext cx="14630400" cy="56959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153</xdr:row>
      <xdr:rowOff>158750</xdr:rowOff>
    </xdr:from>
    <xdr:to>
      <xdr:col>21</xdr:col>
      <xdr:colOff>495300</xdr:colOff>
      <xdr:row>155</xdr:row>
      <xdr:rowOff>31750</xdr:rowOff>
    </xdr:to>
    <xdr:sp macro="" textlink="">
      <xdr:nvSpPr>
        <xdr:cNvPr id="629" name="OpenSolver68">
          <a:extLst>
            <a:ext uri="{FF2B5EF4-FFF2-40B4-BE49-F238E27FC236}">
              <a16:creationId xmlns:a16="http://schemas.microsoft.com/office/drawing/2014/main" xmlns="" id="{00000000-0008-0000-0200-000075020000}"/>
            </a:ext>
          </a:extLst>
        </xdr:cNvPr>
        <xdr:cNvSpPr/>
      </xdr:nvSpPr>
      <xdr:spPr>
        <a:xfrm>
          <a:off x="12915900" y="293052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313</xdr:row>
      <xdr:rowOff>0</xdr:rowOff>
    </xdr:from>
    <xdr:to>
      <xdr:col>10</xdr:col>
      <xdr:colOff>0</xdr:colOff>
      <xdr:row>315</xdr:row>
      <xdr:rowOff>0</xdr:rowOff>
    </xdr:to>
    <xdr:sp macro="" textlink="">
      <xdr:nvSpPr>
        <xdr:cNvPr id="630" name="OpenSolver69">
          <a:extLst>
            <a:ext uri="{FF2B5EF4-FFF2-40B4-BE49-F238E27FC236}">
              <a16:creationId xmlns:a16="http://schemas.microsoft.com/office/drawing/2014/main" xmlns="" id="{00000000-0008-0000-0200-000076020000}"/>
            </a:ext>
          </a:extLst>
        </xdr:cNvPr>
        <xdr:cNvSpPr/>
      </xdr:nvSpPr>
      <xdr:spPr>
        <a:xfrm>
          <a:off x="54864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35</xdr:col>
      <xdr:colOff>0</xdr:colOff>
      <xdr:row>5</xdr:row>
      <xdr:rowOff>0</xdr:rowOff>
    </xdr:to>
    <xdr:sp macro="" textlink="">
      <xdr:nvSpPr>
        <xdr:cNvPr id="631" name="OpenSolver70">
          <a:extLst>
            <a:ext uri="{FF2B5EF4-FFF2-40B4-BE49-F238E27FC236}">
              <a16:creationId xmlns:a16="http://schemas.microsoft.com/office/drawing/2014/main" xmlns="" id="{00000000-0008-0000-0200-000077020000}"/>
            </a:ext>
          </a:extLst>
        </xdr:cNvPr>
        <xdr:cNvSpPr/>
      </xdr:nvSpPr>
      <xdr:spPr>
        <a:xfrm>
          <a:off x="2072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34</xdr:col>
      <xdr:colOff>304800</xdr:colOff>
      <xdr:row>313</xdr:row>
      <xdr:rowOff>0</xdr:rowOff>
    </xdr:to>
    <xdr:cxnSp macro="">
      <xdr:nvCxnSpPr>
        <xdr:cNvPr id="632" name="OpenSolver71">
          <a:extLst>
            <a:ext uri="{FF2B5EF4-FFF2-40B4-BE49-F238E27FC236}">
              <a16:creationId xmlns:a16="http://schemas.microsoft.com/office/drawing/2014/main" xmlns="" id="{00000000-0008-0000-0200-000078020000}"/>
            </a:ext>
          </a:extLst>
        </xdr:cNvPr>
        <xdr:cNvCxnSpPr>
          <a:stCxn id="630" idx="0"/>
          <a:endCxn id="631" idx="2"/>
        </xdr:cNvCxnSpPr>
      </xdr:nvCxnSpPr>
      <xdr:spPr>
        <a:xfrm flipV="1">
          <a:off x="5791200" y="952500"/>
          <a:ext cx="15240000" cy="5867400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419100</xdr:colOff>
      <xdr:row>158</xdr:row>
      <xdr:rowOff>63500</xdr:rowOff>
    </xdr:from>
    <xdr:to>
      <xdr:col>22</xdr:col>
      <xdr:colOff>190500</xdr:colOff>
      <xdr:row>159</xdr:row>
      <xdr:rowOff>127000</xdr:rowOff>
    </xdr:to>
    <xdr:sp macro="" textlink="">
      <xdr:nvSpPr>
        <xdr:cNvPr id="633" name="OpenSolver72">
          <a:extLst>
            <a:ext uri="{FF2B5EF4-FFF2-40B4-BE49-F238E27FC236}">
              <a16:creationId xmlns:a16="http://schemas.microsoft.com/office/drawing/2014/main" xmlns="" id="{00000000-0008-0000-0200-000079020000}"/>
            </a:ext>
          </a:extLst>
        </xdr:cNvPr>
        <xdr:cNvSpPr/>
      </xdr:nvSpPr>
      <xdr:spPr>
        <a:xfrm>
          <a:off x="13220700" y="301625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315</xdr:row>
      <xdr:rowOff>0</xdr:rowOff>
    </xdr:from>
    <xdr:to>
      <xdr:col>10</xdr:col>
      <xdr:colOff>0</xdr:colOff>
      <xdr:row>317</xdr:row>
      <xdr:rowOff>0</xdr:rowOff>
    </xdr:to>
    <xdr:sp macro="" textlink="">
      <xdr:nvSpPr>
        <xdr:cNvPr id="634" name="OpenSolver73">
          <a:extLst>
            <a:ext uri="{FF2B5EF4-FFF2-40B4-BE49-F238E27FC236}">
              <a16:creationId xmlns:a16="http://schemas.microsoft.com/office/drawing/2014/main" xmlns="" id="{00000000-0008-0000-0200-00007A020000}"/>
            </a:ext>
          </a:extLst>
        </xdr:cNvPr>
        <xdr:cNvSpPr/>
      </xdr:nvSpPr>
      <xdr:spPr>
        <a:xfrm>
          <a:off x="54864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35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635" name="OpenSolver74">
          <a:extLst>
            <a:ext uri="{FF2B5EF4-FFF2-40B4-BE49-F238E27FC236}">
              <a16:creationId xmlns:a16="http://schemas.microsoft.com/office/drawing/2014/main" xmlns="" id="{00000000-0008-0000-0200-00007B020000}"/>
            </a:ext>
          </a:extLst>
        </xdr:cNvPr>
        <xdr:cNvSpPr/>
      </xdr:nvSpPr>
      <xdr:spPr>
        <a:xfrm>
          <a:off x="2133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304800</xdr:colOff>
      <xdr:row>5</xdr:row>
      <xdr:rowOff>0</xdr:rowOff>
    </xdr:from>
    <xdr:to>
      <xdr:col>35</xdr:col>
      <xdr:colOff>304800</xdr:colOff>
      <xdr:row>315</xdr:row>
      <xdr:rowOff>0</xdr:rowOff>
    </xdr:to>
    <xdr:cxnSp macro="">
      <xdr:nvCxnSpPr>
        <xdr:cNvPr id="636" name="OpenSolver75">
          <a:extLst>
            <a:ext uri="{FF2B5EF4-FFF2-40B4-BE49-F238E27FC236}">
              <a16:creationId xmlns:a16="http://schemas.microsoft.com/office/drawing/2014/main" xmlns="" id="{00000000-0008-0000-0200-00007C020000}"/>
            </a:ext>
          </a:extLst>
        </xdr:cNvPr>
        <xdr:cNvCxnSpPr>
          <a:stCxn id="634" idx="0"/>
          <a:endCxn id="635" idx="2"/>
        </xdr:cNvCxnSpPr>
      </xdr:nvCxnSpPr>
      <xdr:spPr>
        <a:xfrm flipV="1">
          <a:off x="5791200" y="952500"/>
          <a:ext cx="15849600" cy="59055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114300</xdr:colOff>
      <xdr:row>159</xdr:row>
      <xdr:rowOff>63500</xdr:rowOff>
    </xdr:from>
    <xdr:to>
      <xdr:col>22</xdr:col>
      <xdr:colOff>495300</xdr:colOff>
      <xdr:row>160</xdr:row>
      <xdr:rowOff>127000</xdr:rowOff>
    </xdr:to>
    <xdr:sp macro="" textlink="">
      <xdr:nvSpPr>
        <xdr:cNvPr id="637" name="OpenSolver76">
          <a:extLst>
            <a:ext uri="{FF2B5EF4-FFF2-40B4-BE49-F238E27FC236}">
              <a16:creationId xmlns:a16="http://schemas.microsoft.com/office/drawing/2014/main" xmlns="" id="{00000000-0008-0000-0200-00007D020000}"/>
            </a:ext>
          </a:extLst>
        </xdr:cNvPr>
        <xdr:cNvSpPr/>
      </xdr:nvSpPr>
      <xdr:spPr>
        <a:xfrm>
          <a:off x="13525500" y="3035300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18</xdr:row>
      <xdr:rowOff>0</xdr:rowOff>
    </xdr:from>
    <xdr:to>
      <xdr:col>12</xdr:col>
      <xdr:colOff>0</xdr:colOff>
      <xdr:row>102</xdr:row>
      <xdr:rowOff>0</xdr:rowOff>
    </xdr:to>
    <xdr:sp macro="" textlink="">
      <xdr:nvSpPr>
        <xdr:cNvPr id="638" name="OpenSolver77">
          <a:extLst>
            <a:ext uri="{FF2B5EF4-FFF2-40B4-BE49-F238E27FC236}">
              <a16:creationId xmlns:a16="http://schemas.microsoft.com/office/drawing/2014/main" xmlns="" id="{00000000-0008-0000-0200-00007E020000}"/>
            </a:ext>
          </a:extLst>
        </xdr:cNvPr>
        <xdr:cNvSpPr/>
      </xdr:nvSpPr>
      <xdr:spPr>
        <a:xfrm>
          <a:off x="6705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37</xdr:col>
      <xdr:colOff>0</xdr:colOff>
      <xdr:row>5</xdr:row>
      <xdr:rowOff>0</xdr:rowOff>
    </xdr:to>
    <xdr:sp macro="" textlink="">
      <xdr:nvSpPr>
        <xdr:cNvPr id="639" name="OpenSolver78">
          <a:extLst>
            <a:ext uri="{FF2B5EF4-FFF2-40B4-BE49-F238E27FC236}">
              <a16:creationId xmlns:a16="http://schemas.microsoft.com/office/drawing/2014/main" xmlns="" id="{00000000-0008-0000-0200-00007F020000}"/>
            </a:ext>
          </a:extLst>
        </xdr:cNvPr>
        <xdr:cNvSpPr/>
      </xdr:nvSpPr>
      <xdr:spPr>
        <a:xfrm>
          <a:off x="2194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36</xdr:col>
      <xdr:colOff>0</xdr:colOff>
      <xdr:row>18</xdr:row>
      <xdr:rowOff>0</xdr:rowOff>
    </xdr:to>
    <xdr:cxnSp macro="">
      <xdr:nvCxnSpPr>
        <xdr:cNvPr id="640" name="OpenSolver79">
          <a:extLst>
            <a:ext uri="{FF2B5EF4-FFF2-40B4-BE49-F238E27FC236}">
              <a16:creationId xmlns:a16="http://schemas.microsoft.com/office/drawing/2014/main" xmlns="" id="{00000000-0008-0000-0200-000080020000}"/>
            </a:ext>
          </a:extLst>
        </xdr:cNvPr>
        <xdr:cNvCxnSpPr>
          <a:stCxn id="638" idx="0"/>
          <a:endCxn id="639" idx="1"/>
        </xdr:cNvCxnSpPr>
      </xdr:nvCxnSpPr>
      <xdr:spPr>
        <a:xfrm flipV="1">
          <a:off x="7010400" y="857250"/>
          <a:ext cx="14935200" cy="2571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266700</xdr:colOff>
      <xdr:row>10</xdr:row>
      <xdr:rowOff>111125</xdr:rowOff>
    </xdr:from>
    <xdr:to>
      <xdr:col>24</xdr:col>
      <xdr:colOff>38100</xdr:colOff>
      <xdr:row>11</xdr:row>
      <xdr:rowOff>174625</xdr:rowOff>
    </xdr:to>
    <xdr:sp macro="" textlink="">
      <xdr:nvSpPr>
        <xdr:cNvPr id="641" name="OpenSolver80">
          <a:extLst>
            <a:ext uri="{FF2B5EF4-FFF2-40B4-BE49-F238E27FC236}">
              <a16:creationId xmlns:a16="http://schemas.microsoft.com/office/drawing/2014/main" xmlns="" id="{00000000-0008-0000-0200-000081020000}"/>
            </a:ext>
          </a:extLst>
        </xdr:cNvPr>
        <xdr:cNvSpPr/>
      </xdr:nvSpPr>
      <xdr:spPr>
        <a:xfrm>
          <a:off x="142875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102</xdr:row>
      <xdr:rowOff>0</xdr:rowOff>
    </xdr:from>
    <xdr:to>
      <xdr:col>12</xdr:col>
      <xdr:colOff>0</xdr:colOff>
      <xdr:row>127</xdr:row>
      <xdr:rowOff>0</xdr:rowOff>
    </xdr:to>
    <xdr:sp macro="" textlink="">
      <xdr:nvSpPr>
        <xdr:cNvPr id="642" name="OpenSolver81">
          <a:extLst>
            <a:ext uri="{FF2B5EF4-FFF2-40B4-BE49-F238E27FC236}">
              <a16:creationId xmlns:a16="http://schemas.microsoft.com/office/drawing/2014/main" xmlns="" id="{00000000-0008-0000-0200-000082020000}"/>
            </a:ext>
          </a:extLst>
        </xdr:cNvPr>
        <xdr:cNvSpPr/>
      </xdr:nvSpPr>
      <xdr:spPr>
        <a:xfrm>
          <a:off x="6705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37</xdr:col>
      <xdr:colOff>0</xdr:colOff>
      <xdr:row>4</xdr:row>
      <xdr:rowOff>0</xdr:rowOff>
    </xdr:from>
    <xdr:to>
      <xdr:col>38</xdr:col>
      <xdr:colOff>0</xdr:colOff>
      <xdr:row>5</xdr:row>
      <xdr:rowOff>0</xdr:rowOff>
    </xdr:to>
    <xdr:sp macro="" textlink="">
      <xdr:nvSpPr>
        <xdr:cNvPr id="643" name="OpenSolver82">
          <a:extLst>
            <a:ext uri="{FF2B5EF4-FFF2-40B4-BE49-F238E27FC236}">
              <a16:creationId xmlns:a16="http://schemas.microsoft.com/office/drawing/2014/main" xmlns="" id="{00000000-0008-0000-0200-000083020000}"/>
            </a:ext>
          </a:extLst>
        </xdr:cNvPr>
        <xdr:cNvSpPr/>
      </xdr:nvSpPr>
      <xdr:spPr>
        <a:xfrm>
          <a:off x="2255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37</xdr:col>
      <xdr:colOff>0</xdr:colOff>
      <xdr:row>102</xdr:row>
      <xdr:rowOff>0</xdr:rowOff>
    </xdr:to>
    <xdr:cxnSp macro="">
      <xdr:nvCxnSpPr>
        <xdr:cNvPr id="644" name="OpenSolver83">
          <a:extLst>
            <a:ext uri="{FF2B5EF4-FFF2-40B4-BE49-F238E27FC236}">
              <a16:creationId xmlns:a16="http://schemas.microsoft.com/office/drawing/2014/main" xmlns="" id="{00000000-0008-0000-0200-000084020000}"/>
            </a:ext>
          </a:extLst>
        </xdr:cNvPr>
        <xdr:cNvCxnSpPr>
          <a:stCxn id="642" idx="0"/>
          <a:endCxn id="643" idx="1"/>
        </xdr:cNvCxnSpPr>
      </xdr:nvCxnSpPr>
      <xdr:spPr>
        <a:xfrm flipV="1">
          <a:off x="7010400" y="857250"/>
          <a:ext cx="15544800" cy="1857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571500</xdr:colOff>
      <xdr:row>52</xdr:row>
      <xdr:rowOff>111125</xdr:rowOff>
    </xdr:from>
    <xdr:to>
      <xdr:col>24</xdr:col>
      <xdr:colOff>342900</xdr:colOff>
      <xdr:row>53</xdr:row>
      <xdr:rowOff>174625</xdr:rowOff>
    </xdr:to>
    <xdr:sp macro="" textlink="">
      <xdr:nvSpPr>
        <xdr:cNvPr id="645" name="OpenSolver84">
          <a:extLst>
            <a:ext uri="{FF2B5EF4-FFF2-40B4-BE49-F238E27FC236}">
              <a16:creationId xmlns:a16="http://schemas.microsoft.com/office/drawing/2014/main" xmlns="" id="{00000000-0008-0000-0200-000085020000}"/>
            </a:ext>
          </a:extLst>
        </xdr:cNvPr>
        <xdr:cNvSpPr/>
      </xdr:nvSpPr>
      <xdr:spPr>
        <a:xfrm>
          <a:off x="145923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127</xdr:row>
      <xdr:rowOff>0</xdr:rowOff>
    </xdr:from>
    <xdr:to>
      <xdr:col>12</xdr:col>
      <xdr:colOff>0</xdr:colOff>
      <xdr:row>135</xdr:row>
      <xdr:rowOff>0</xdr:rowOff>
    </xdr:to>
    <xdr:sp macro="" textlink="">
      <xdr:nvSpPr>
        <xdr:cNvPr id="646" name="OpenSolver85">
          <a:extLst>
            <a:ext uri="{FF2B5EF4-FFF2-40B4-BE49-F238E27FC236}">
              <a16:creationId xmlns:a16="http://schemas.microsoft.com/office/drawing/2014/main" xmlns="" id="{00000000-0008-0000-0200-000086020000}"/>
            </a:ext>
          </a:extLst>
        </xdr:cNvPr>
        <xdr:cNvSpPr/>
      </xdr:nvSpPr>
      <xdr:spPr>
        <a:xfrm>
          <a:off x="6705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38</xdr:col>
      <xdr:colOff>0</xdr:colOff>
      <xdr:row>4</xdr:row>
      <xdr:rowOff>0</xdr:rowOff>
    </xdr:from>
    <xdr:to>
      <xdr:col>39</xdr:col>
      <xdr:colOff>0</xdr:colOff>
      <xdr:row>5</xdr:row>
      <xdr:rowOff>0</xdr:rowOff>
    </xdr:to>
    <xdr:sp macro="" textlink="">
      <xdr:nvSpPr>
        <xdr:cNvPr id="647" name="OpenSolver86">
          <a:extLst>
            <a:ext uri="{FF2B5EF4-FFF2-40B4-BE49-F238E27FC236}">
              <a16:creationId xmlns:a16="http://schemas.microsoft.com/office/drawing/2014/main" xmlns="" id="{00000000-0008-0000-0200-000087020000}"/>
            </a:ext>
          </a:extLst>
        </xdr:cNvPr>
        <xdr:cNvSpPr/>
      </xdr:nvSpPr>
      <xdr:spPr>
        <a:xfrm>
          <a:off x="2316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38</xdr:col>
      <xdr:colOff>0</xdr:colOff>
      <xdr:row>127</xdr:row>
      <xdr:rowOff>0</xdr:rowOff>
    </xdr:to>
    <xdr:cxnSp macro="">
      <xdr:nvCxnSpPr>
        <xdr:cNvPr id="648" name="OpenSolver87">
          <a:extLst>
            <a:ext uri="{FF2B5EF4-FFF2-40B4-BE49-F238E27FC236}">
              <a16:creationId xmlns:a16="http://schemas.microsoft.com/office/drawing/2014/main" xmlns="" id="{00000000-0008-0000-0200-000088020000}"/>
            </a:ext>
          </a:extLst>
        </xdr:cNvPr>
        <xdr:cNvCxnSpPr>
          <a:stCxn id="646" idx="0"/>
          <a:endCxn id="647" idx="1"/>
        </xdr:cNvCxnSpPr>
      </xdr:nvCxnSpPr>
      <xdr:spPr>
        <a:xfrm flipV="1">
          <a:off x="7010400" y="857250"/>
          <a:ext cx="16154400" cy="23336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266700</xdr:colOff>
      <xdr:row>65</xdr:row>
      <xdr:rowOff>15875</xdr:rowOff>
    </xdr:from>
    <xdr:to>
      <xdr:col>25</xdr:col>
      <xdr:colOff>38100</xdr:colOff>
      <xdr:row>66</xdr:row>
      <xdr:rowOff>79375</xdr:rowOff>
    </xdr:to>
    <xdr:sp macro="" textlink="">
      <xdr:nvSpPr>
        <xdr:cNvPr id="649" name="OpenSolver88">
          <a:extLst>
            <a:ext uri="{FF2B5EF4-FFF2-40B4-BE49-F238E27FC236}">
              <a16:creationId xmlns:a16="http://schemas.microsoft.com/office/drawing/2014/main" xmlns="" id="{00000000-0008-0000-0200-000089020000}"/>
            </a:ext>
          </a:extLst>
        </xdr:cNvPr>
        <xdr:cNvSpPr/>
      </xdr:nvSpPr>
      <xdr:spPr>
        <a:xfrm>
          <a:off x="148971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135</xdr:row>
      <xdr:rowOff>0</xdr:rowOff>
    </xdr:from>
    <xdr:to>
      <xdr:col>12</xdr:col>
      <xdr:colOff>0</xdr:colOff>
      <xdr:row>142</xdr:row>
      <xdr:rowOff>0</xdr:rowOff>
    </xdr:to>
    <xdr:sp macro="" textlink="">
      <xdr:nvSpPr>
        <xdr:cNvPr id="650" name="OpenSolver89">
          <a:extLst>
            <a:ext uri="{FF2B5EF4-FFF2-40B4-BE49-F238E27FC236}">
              <a16:creationId xmlns:a16="http://schemas.microsoft.com/office/drawing/2014/main" xmlns="" id="{00000000-0008-0000-0200-00008A020000}"/>
            </a:ext>
          </a:extLst>
        </xdr:cNvPr>
        <xdr:cNvSpPr/>
      </xdr:nvSpPr>
      <xdr:spPr>
        <a:xfrm>
          <a:off x="6705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39</xdr:col>
      <xdr:colOff>0</xdr:colOff>
      <xdr:row>4</xdr:row>
      <xdr:rowOff>0</xdr:rowOff>
    </xdr:from>
    <xdr:to>
      <xdr:col>40</xdr:col>
      <xdr:colOff>0</xdr:colOff>
      <xdr:row>5</xdr:row>
      <xdr:rowOff>0</xdr:rowOff>
    </xdr:to>
    <xdr:sp macro="" textlink="">
      <xdr:nvSpPr>
        <xdr:cNvPr id="651" name="OpenSolver90">
          <a:extLst>
            <a:ext uri="{FF2B5EF4-FFF2-40B4-BE49-F238E27FC236}">
              <a16:creationId xmlns:a16="http://schemas.microsoft.com/office/drawing/2014/main" xmlns="" id="{00000000-0008-0000-0200-00008B020000}"/>
            </a:ext>
          </a:extLst>
        </xdr:cNvPr>
        <xdr:cNvSpPr/>
      </xdr:nvSpPr>
      <xdr:spPr>
        <a:xfrm>
          <a:off x="2377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39</xdr:col>
      <xdr:colOff>0</xdr:colOff>
      <xdr:row>135</xdr:row>
      <xdr:rowOff>0</xdr:rowOff>
    </xdr:to>
    <xdr:cxnSp macro="">
      <xdr:nvCxnSpPr>
        <xdr:cNvPr id="652" name="OpenSolver91">
          <a:extLst>
            <a:ext uri="{FF2B5EF4-FFF2-40B4-BE49-F238E27FC236}">
              <a16:creationId xmlns:a16="http://schemas.microsoft.com/office/drawing/2014/main" xmlns="" id="{00000000-0008-0000-0200-00008C020000}"/>
            </a:ext>
          </a:extLst>
        </xdr:cNvPr>
        <xdr:cNvCxnSpPr>
          <a:stCxn id="650" idx="0"/>
          <a:endCxn id="651" idx="1"/>
        </xdr:cNvCxnSpPr>
      </xdr:nvCxnSpPr>
      <xdr:spPr>
        <a:xfrm flipV="1">
          <a:off x="7010400" y="857250"/>
          <a:ext cx="16764000" cy="24860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571500</xdr:colOff>
      <xdr:row>69</xdr:row>
      <xdr:rowOff>15875</xdr:rowOff>
    </xdr:from>
    <xdr:to>
      <xdr:col>25</xdr:col>
      <xdr:colOff>342900</xdr:colOff>
      <xdr:row>70</xdr:row>
      <xdr:rowOff>79375</xdr:rowOff>
    </xdr:to>
    <xdr:sp macro="" textlink="">
      <xdr:nvSpPr>
        <xdr:cNvPr id="653" name="OpenSolver92">
          <a:extLst>
            <a:ext uri="{FF2B5EF4-FFF2-40B4-BE49-F238E27FC236}">
              <a16:creationId xmlns:a16="http://schemas.microsoft.com/office/drawing/2014/main" xmlns="" id="{00000000-0008-0000-0200-00008D020000}"/>
            </a:ext>
          </a:extLst>
        </xdr:cNvPr>
        <xdr:cNvSpPr/>
      </xdr:nvSpPr>
      <xdr:spPr>
        <a:xfrm>
          <a:off x="152019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142</xdr:row>
      <xdr:rowOff>0</xdr:rowOff>
    </xdr:from>
    <xdr:to>
      <xdr:col>12</xdr:col>
      <xdr:colOff>0</xdr:colOff>
      <xdr:row>277</xdr:row>
      <xdr:rowOff>0</xdr:rowOff>
    </xdr:to>
    <xdr:sp macro="" textlink="">
      <xdr:nvSpPr>
        <xdr:cNvPr id="654" name="OpenSolver93">
          <a:extLst>
            <a:ext uri="{FF2B5EF4-FFF2-40B4-BE49-F238E27FC236}">
              <a16:creationId xmlns:a16="http://schemas.microsoft.com/office/drawing/2014/main" xmlns="" id="{00000000-0008-0000-0200-00008E020000}"/>
            </a:ext>
          </a:extLst>
        </xdr:cNvPr>
        <xdr:cNvSpPr/>
      </xdr:nvSpPr>
      <xdr:spPr>
        <a:xfrm>
          <a:off x="6705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40</xdr:col>
      <xdr:colOff>0</xdr:colOff>
      <xdr:row>4</xdr:row>
      <xdr:rowOff>0</xdr:rowOff>
    </xdr:from>
    <xdr:to>
      <xdr:col>41</xdr:col>
      <xdr:colOff>0</xdr:colOff>
      <xdr:row>5</xdr:row>
      <xdr:rowOff>0</xdr:rowOff>
    </xdr:to>
    <xdr:sp macro="" textlink="">
      <xdr:nvSpPr>
        <xdr:cNvPr id="655" name="OpenSolver94">
          <a:extLst>
            <a:ext uri="{FF2B5EF4-FFF2-40B4-BE49-F238E27FC236}">
              <a16:creationId xmlns:a16="http://schemas.microsoft.com/office/drawing/2014/main" xmlns="" id="{00000000-0008-0000-0200-00008F020000}"/>
            </a:ext>
          </a:extLst>
        </xdr:cNvPr>
        <xdr:cNvSpPr/>
      </xdr:nvSpPr>
      <xdr:spPr>
        <a:xfrm>
          <a:off x="2438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40</xdr:col>
      <xdr:colOff>0</xdr:colOff>
      <xdr:row>142</xdr:row>
      <xdr:rowOff>0</xdr:rowOff>
    </xdr:to>
    <xdr:cxnSp macro="">
      <xdr:nvCxnSpPr>
        <xdr:cNvPr id="656" name="OpenSolver95">
          <a:extLst>
            <a:ext uri="{FF2B5EF4-FFF2-40B4-BE49-F238E27FC236}">
              <a16:creationId xmlns:a16="http://schemas.microsoft.com/office/drawing/2014/main" xmlns="" id="{00000000-0008-0000-0200-000090020000}"/>
            </a:ext>
          </a:extLst>
        </xdr:cNvPr>
        <xdr:cNvCxnSpPr>
          <a:stCxn id="654" idx="0"/>
          <a:endCxn id="655" idx="1"/>
        </xdr:cNvCxnSpPr>
      </xdr:nvCxnSpPr>
      <xdr:spPr>
        <a:xfrm flipV="1">
          <a:off x="7010400" y="857250"/>
          <a:ext cx="17373600" cy="2619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266700</xdr:colOff>
      <xdr:row>72</xdr:row>
      <xdr:rowOff>111125</xdr:rowOff>
    </xdr:from>
    <xdr:to>
      <xdr:col>26</xdr:col>
      <xdr:colOff>38100</xdr:colOff>
      <xdr:row>73</xdr:row>
      <xdr:rowOff>174625</xdr:rowOff>
    </xdr:to>
    <xdr:sp macro="" textlink="">
      <xdr:nvSpPr>
        <xdr:cNvPr id="657" name="OpenSolver96">
          <a:extLst>
            <a:ext uri="{FF2B5EF4-FFF2-40B4-BE49-F238E27FC236}">
              <a16:creationId xmlns:a16="http://schemas.microsoft.com/office/drawing/2014/main" xmlns="" id="{00000000-0008-0000-0200-000091020000}"/>
            </a:ext>
          </a:extLst>
        </xdr:cNvPr>
        <xdr:cNvSpPr/>
      </xdr:nvSpPr>
      <xdr:spPr>
        <a:xfrm>
          <a:off x="155067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277</xdr:row>
      <xdr:rowOff>0</xdr:rowOff>
    </xdr:from>
    <xdr:to>
      <xdr:col>12</xdr:col>
      <xdr:colOff>0</xdr:colOff>
      <xdr:row>304</xdr:row>
      <xdr:rowOff>0</xdr:rowOff>
    </xdr:to>
    <xdr:sp macro="" textlink="">
      <xdr:nvSpPr>
        <xdr:cNvPr id="658" name="OpenSolver97">
          <a:extLst>
            <a:ext uri="{FF2B5EF4-FFF2-40B4-BE49-F238E27FC236}">
              <a16:creationId xmlns:a16="http://schemas.microsoft.com/office/drawing/2014/main" xmlns="" id="{00000000-0008-0000-0200-000092020000}"/>
            </a:ext>
          </a:extLst>
        </xdr:cNvPr>
        <xdr:cNvSpPr/>
      </xdr:nvSpPr>
      <xdr:spPr>
        <a:xfrm>
          <a:off x="6705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41</xdr:col>
      <xdr:colOff>0</xdr:colOff>
      <xdr:row>4</xdr:row>
      <xdr:rowOff>0</xdr:rowOff>
    </xdr:from>
    <xdr:to>
      <xdr:col>42</xdr:col>
      <xdr:colOff>0</xdr:colOff>
      <xdr:row>5</xdr:row>
      <xdr:rowOff>0</xdr:rowOff>
    </xdr:to>
    <xdr:sp macro="" textlink="">
      <xdr:nvSpPr>
        <xdr:cNvPr id="659" name="OpenSolver98">
          <a:extLst>
            <a:ext uri="{FF2B5EF4-FFF2-40B4-BE49-F238E27FC236}">
              <a16:creationId xmlns:a16="http://schemas.microsoft.com/office/drawing/2014/main" xmlns="" id="{00000000-0008-0000-0200-000093020000}"/>
            </a:ext>
          </a:extLst>
        </xdr:cNvPr>
        <xdr:cNvSpPr/>
      </xdr:nvSpPr>
      <xdr:spPr>
        <a:xfrm>
          <a:off x="2499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41</xdr:col>
      <xdr:colOff>0</xdr:colOff>
      <xdr:row>277</xdr:row>
      <xdr:rowOff>0</xdr:rowOff>
    </xdr:to>
    <xdr:cxnSp macro="">
      <xdr:nvCxnSpPr>
        <xdr:cNvPr id="660" name="OpenSolver99">
          <a:extLst>
            <a:ext uri="{FF2B5EF4-FFF2-40B4-BE49-F238E27FC236}">
              <a16:creationId xmlns:a16="http://schemas.microsoft.com/office/drawing/2014/main" xmlns="" id="{00000000-0008-0000-0200-000094020000}"/>
            </a:ext>
          </a:extLst>
        </xdr:cNvPr>
        <xdr:cNvCxnSpPr>
          <a:stCxn id="658" idx="0"/>
          <a:endCxn id="659" idx="1"/>
        </xdr:cNvCxnSpPr>
      </xdr:nvCxnSpPr>
      <xdr:spPr>
        <a:xfrm flipV="1">
          <a:off x="7010400" y="857250"/>
          <a:ext cx="17983200" cy="51911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571500</xdr:colOff>
      <xdr:row>140</xdr:row>
      <xdr:rowOff>15875</xdr:rowOff>
    </xdr:from>
    <xdr:to>
      <xdr:col>26</xdr:col>
      <xdr:colOff>342900</xdr:colOff>
      <xdr:row>141</xdr:row>
      <xdr:rowOff>79375</xdr:rowOff>
    </xdr:to>
    <xdr:sp macro="" textlink="">
      <xdr:nvSpPr>
        <xdr:cNvPr id="661" name="OpenSolver100">
          <a:extLst>
            <a:ext uri="{FF2B5EF4-FFF2-40B4-BE49-F238E27FC236}">
              <a16:creationId xmlns:a16="http://schemas.microsoft.com/office/drawing/2014/main" xmlns="" id="{00000000-0008-0000-0200-000095020000}"/>
            </a:ext>
          </a:extLst>
        </xdr:cNvPr>
        <xdr:cNvSpPr/>
      </xdr:nvSpPr>
      <xdr:spPr>
        <a:xfrm>
          <a:off x="158115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304</xdr:row>
      <xdr:rowOff>0</xdr:rowOff>
    </xdr:from>
    <xdr:to>
      <xdr:col>12</xdr:col>
      <xdr:colOff>0</xdr:colOff>
      <xdr:row>313</xdr:row>
      <xdr:rowOff>0</xdr:rowOff>
    </xdr:to>
    <xdr:sp macro="" textlink="">
      <xdr:nvSpPr>
        <xdr:cNvPr id="662" name="OpenSolver101">
          <a:extLst>
            <a:ext uri="{FF2B5EF4-FFF2-40B4-BE49-F238E27FC236}">
              <a16:creationId xmlns:a16="http://schemas.microsoft.com/office/drawing/2014/main" xmlns="" id="{00000000-0008-0000-0200-000096020000}"/>
            </a:ext>
          </a:extLst>
        </xdr:cNvPr>
        <xdr:cNvSpPr/>
      </xdr:nvSpPr>
      <xdr:spPr>
        <a:xfrm>
          <a:off x="6705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42</xdr:col>
      <xdr:colOff>0</xdr:colOff>
      <xdr:row>4</xdr:row>
      <xdr:rowOff>0</xdr:rowOff>
    </xdr:from>
    <xdr:to>
      <xdr:col>43</xdr:col>
      <xdr:colOff>0</xdr:colOff>
      <xdr:row>5</xdr:row>
      <xdr:rowOff>0</xdr:rowOff>
    </xdr:to>
    <xdr:sp macro="" textlink="">
      <xdr:nvSpPr>
        <xdr:cNvPr id="663" name="OpenSolver102">
          <a:extLst>
            <a:ext uri="{FF2B5EF4-FFF2-40B4-BE49-F238E27FC236}">
              <a16:creationId xmlns:a16="http://schemas.microsoft.com/office/drawing/2014/main" xmlns="" id="{00000000-0008-0000-0200-000097020000}"/>
            </a:ext>
          </a:extLst>
        </xdr:cNvPr>
        <xdr:cNvSpPr/>
      </xdr:nvSpPr>
      <xdr:spPr>
        <a:xfrm>
          <a:off x="2560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42</xdr:col>
      <xdr:colOff>0</xdr:colOff>
      <xdr:row>304</xdr:row>
      <xdr:rowOff>0</xdr:rowOff>
    </xdr:to>
    <xdr:cxnSp macro="">
      <xdr:nvCxnSpPr>
        <xdr:cNvPr id="664" name="OpenSolver103">
          <a:extLst>
            <a:ext uri="{FF2B5EF4-FFF2-40B4-BE49-F238E27FC236}">
              <a16:creationId xmlns:a16="http://schemas.microsoft.com/office/drawing/2014/main" xmlns="" id="{00000000-0008-0000-0200-000098020000}"/>
            </a:ext>
          </a:extLst>
        </xdr:cNvPr>
        <xdr:cNvCxnSpPr>
          <a:stCxn id="662" idx="0"/>
          <a:endCxn id="663" idx="1"/>
        </xdr:cNvCxnSpPr>
      </xdr:nvCxnSpPr>
      <xdr:spPr>
        <a:xfrm flipV="1">
          <a:off x="7010400" y="857250"/>
          <a:ext cx="18592800" cy="57054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266700</xdr:colOff>
      <xdr:row>153</xdr:row>
      <xdr:rowOff>111125</xdr:rowOff>
    </xdr:from>
    <xdr:to>
      <xdr:col>27</xdr:col>
      <xdr:colOff>38100</xdr:colOff>
      <xdr:row>154</xdr:row>
      <xdr:rowOff>174625</xdr:rowOff>
    </xdr:to>
    <xdr:sp macro="" textlink="">
      <xdr:nvSpPr>
        <xdr:cNvPr id="665" name="OpenSolver104">
          <a:extLst>
            <a:ext uri="{FF2B5EF4-FFF2-40B4-BE49-F238E27FC236}">
              <a16:creationId xmlns:a16="http://schemas.microsoft.com/office/drawing/2014/main" xmlns="" id="{00000000-0008-0000-0200-000099020000}"/>
            </a:ext>
          </a:extLst>
        </xdr:cNvPr>
        <xdr:cNvSpPr/>
      </xdr:nvSpPr>
      <xdr:spPr>
        <a:xfrm>
          <a:off x="161163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313</xdr:row>
      <xdr:rowOff>0</xdr:rowOff>
    </xdr:from>
    <xdr:to>
      <xdr:col>12</xdr:col>
      <xdr:colOff>0</xdr:colOff>
      <xdr:row>315</xdr:row>
      <xdr:rowOff>0</xdr:rowOff>
    </xdr:to>
    <xdr:sp macro="" textlink="">
      <xdr:nvSpPr>
        <xdr:cNvPr id="666" name="OpenSolver105">
          <a:extLst>
            <a:ext uri="{FF2B5EF4-FFF2-40B4-BE49-F238E27FC236}">
              <a16:creationId xmlns:a16="http://schemas.microsoft.com/office/drawing/2014/main" xmlns="" id="{00000000-0008-0000-0200-00009A020000}"/>
            </a:ext>
          </a:extLst>
        </xdr:cNvPr>
        <xdr:cNvSpPr/>
      </xdr:nvSpPr>
      <xdr:spPr>
        <a:xfrm>
          <a:off x="6705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43</xdr:col>
      <xdr:colOff>0</xdr:colOff>
      <xdr:row>4</xdr:row>
      <xdr:rowOff>0</xdr:rowOff>
    </xdr:from>
    <xdr:to>
      <xdr:col>44</xdr:col>
      <xdr:colOff>0</xdr:colOff>
      <xdr:row>5</xdr:row>
      <xdr:rowOff>0</xdr:rowOff>
    </xdr:to>
    <xdr:sp macro="" textlink="">
      <xdr:nvSpPr>
        <xdr:cNvPr id="667" name="OpenSolver106">
          <a:extLst>
            <a:ext uri="{FF2B5EF4-FFF2-40B4-BE49-F238E27FC236}">
              <a16:creationId xmlns:a16="http://schemas.microsoft.com/office/drawing/2014/main" xmlns="" id="{00000000-0008-0000-0200-00009B020000}"/>
            </a:ext>
          </a:extLst>
        </xdr:cNvPr>
        <xdr:cNvSpPr/>
      </xdr:nvSpPr>
      <xdr:spPr>
        <a:xfrm>
          <a:off x="2621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43</xdr:col>
      <xdr:colOff>0</xdr:colOff>
      <xdr:row>313</xdr:row>
      <xdr:rowOff>0</xdr:rowOff>
    </xdr:to>
    <xdr:cxnSp macro="">
      <xdr:nvCxnSpPr>
        <xdr:cNvPr id="668" name="OpenSolver107">
          <a:extLst>
            <a:ext uri="{FF2B5EF4-FFF2-40B4-BE49-F238E27FC236}">
              <a16:creationId xmlns:a16="http://schemas.microsoft.com/office/drawing/2014/main" xmlns="" id="{00000000-0008-0000-0200-00009C020000}"/>
            </a:ext>
          </a:extLst>
        </xdr:cNvPr>
        <xdr:cNvCxnSpPr>
          <a:stCxn id="666" idx="0"/>
          <a:endCxn id="667" idx="1"/>
        </xdr:cNvCxnSpPr>
      </xdr:nvCxnSpPr>
      <xdr:spPr>
        <a:xfrm flipV="1">
          <a:off x="7010400" y="857250"/>
          <a:ext cx="19202400" cy="58769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571500</xdr:colOff>
      <xdr:row>158</xdr:row>
      <xdr:rowOff>15875</xdr:rowOff>
    </xdr:from>
    <xdr:to>
      <xdr:col>27</xdr:col>
      <xdr:colOff>342900</xdr:colOff>
      <xdr:row>159</xdr:row>
      <xdr:rowOff>79375</xdr:rowOff>
    </xdr:to>
    <xdr:sp macro="" textlink="">
      <xdr:nvSpPr>
        <xdr:cNvPr id="669" name="OpenSolver108">
          <a:extLst>
            <a:ext uri="{FF2B5EF4-FFF2-40B4-BE49-F238E27FC236}">
              <a16:creationId xmlns:a16="http://schemas.microsoft.com/office/drawing/2014/main" xmlns="" id="{00000000-0008-0000-0200-00009D020000}"/>
            </a:ext>
          </a:extLst>
        </xdr:cNvPr>
        <xdr:cNvSpPr/>
      </xdr:nvSpPr>
      <xdr:spPr>
        <a:xfrm>
          <a:off x="164211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315</xdr:row>
      <xdr:rowOff>0</xdr:rowOff>
    </xdr:from>
    <xdr:to>
      <xdr:col>12</xdr:col>
      <xdr:colOff>0</xdr:colOff>
      <xdr:row>317</xdr:row>
      <xdr:rowOff>0</xdr:rowOff>
    </xdr:to>
    <xdr:sp macro="" textlink="">
      <xdr:nvSpPr>
        <xdr:cNvPr id="670" name="OpenSolver109">
          <a:extLst>
            <a:ext uri="{FF2B5EF4-FFF2-40B4-BE49-F238E27FC236}">
              <a16:creationId xmlns:a16="http://schemas.microsoft.com/office/drawing/2014/main" xmlns="" id="{00000000-0008-0000-0200-00009E020000}"/>
            </a:ext>
          </a:extLst>
        </xdr:cNvPr>
        <xdr:cNvSpPr/>
      </xdr:nvSpPr>
      <xdr:spPr>
        <a:xfrm>
          <a:off x="6705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44</xdr:col>
      <xdr:colOff>0</xdr:colOff>
      <xdr:row>4</xdr:row>
      <xdr:rowOff>0</xdr:rowOff>
    </xdr:from>
    <xdr:to>
      <xdr:col>45</xdr:col>
      <xdr:colOff>0</xdr:colOff>
      <xdr:row>5</xdr:row>
      <xdr:rowOff>0</xdr:rowOff>
    </xdr:to>
    <xdr:sp macro="" textlink="">
      <xdr:nvSpPr>
        <xdr:cNvPr id="671" name="OpenSolver110">
          <a:extLst>
            <a:ext uri="{FF2B5EF4-FFF2-40B4-BE49-F238E27FC236}">
              <a16:creationId xmlns:a16="http://schemas.microsoft.com/office/drawing/2014/main" xmlns="" id="{00000000-0008-0000-0200-00009F020000}"/>
            </a:ext>
          </a:extLst>
        </xdr:cNvPr>
        <xdr:cNvSpPr/>
      </xdr:nvSpPr>
      <xdr:spPr>
        <a:xfrm>
          <a:off x="2682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11</xdr:col>
      <xdr:colOff>304800</xdr:colOff>
      <xdr:row>4</xdr:row>
      <xdr:rowOff>95250</xdr:rowOff>
    </xdr:from>
    <xdr:to>
      <xdr:col>44</xdr:col>
      <xdr:colOff>0</xdr:colOff>
      <xdr:row>315</xdr:row>
      <xdr:rowOff>0</xdr:rowOff>
    </xdr:to>
    <xdr:cxnSp macro="">
      <xdr:nvCxnSpPr>
        <xdr:cNvPr id="672" name="OpenSolver111">
          <a:extLst>
            <a:ext uri="{FF2B5EF4-FFF2-40B4-BE49-F238E27FC236}">
              <a16:creationId xmlns:a16="http://schemas.microsoft.com/office/drawing/2014/main" xmlns="" id="{00000000-0008-0000-0200-0000A0020000}"/>
            </a:ext>
          </a:extLst>
        </xdr:cNvPr>
        <xdr:cNvCxnSpPr>
          <a:stCxn id="670" idx="0"/>
          <a:endCxn id="671" idx="1"/>
        </xdr:cNvCxnSpPr>
      </xdr:nvCxnSpPr>
      <xdr:spPr>
        <a:xfrm flipV="1">
          <a:off x="7010400" y="857250"/>
          <a:ext cx="19812000" cy="59150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266700</xdr:colOff>
      <xdr:row>159</xdr:row>
      <xdr:rowOff>15875</xdr:rowOff>
    </xdr:from>
    <xdr:to>
      <xdr:col>28</xdr:col>
      <xdr:colOff>38100</xdr:colOff>
      <xdr:row>160</xdr:row>
      <xdr:rowOff>79375</xdr:rowOff>
    </xdr:to>
    <xdr:sp macro="" textlink="">
      <xdr:nvSpPr>
        <xdr:cNvPr id="673" name="OpenSolver112">
          <a:extLst>
            <a:ext uri="{FF2B5EF4-FFF2-40B4-BE49-F238E27FC236}">
              <a16:creationId xmlns:a16="http://schemas.microsoft.com/office/drawing/2014/main" xmlns="" id="{00000000-0008-0000-0200-0000A1020000}"/>
            </a:ext>
          </a:extLst>
        </xdr:cNvPr>
        <xdr:cNvSpPr/>
      </xdr:nvSpPr>
      <xdr:spPr>
        <a:xfrm>
          <a:off x="167259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18</xdr:row>
      <xdr:rowOff>0</xdr:rowOff>
    </xdr:from>
    <xdr:to>
      <xdr:col>13</xdr:col>
      <xdr:colOff>0</xdr:colOff>
      <xdr:row>102</xdr:row>
      <xdr:rowOff>0</xdr:rowOff>
    </xdr:to>
    <xdr:sp macro="" textlink="">
      <xdr:nvSpPr>
        <xdr:cNvPr id="674" name="OpenSolver113">
          <a:extLst>
            <a:ext uri="{FF2B5EF4-FFF2-40B4-BE49-F238E27FC236}">
              <a16:creationId xmlns:a16="http://schemas.microsoft.com/office/drawing/2014/main" xmlns="" id="{00000000-0008-0000-0200-0000A2020000}"/>
            </a:ext>
          </a:extLst>
        </xdr:cNvPr>
        <xdr:cNvSpPr/>
      </xdr:nvSpPr>
      <xdr:spPr>
        <a:xfrm>
          <a:off x="73152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45</xdr:col>
      <xdr:colOff>0</xdr:colOff>
      <xdr:row>4</xdr:row>
      <xdr:rowOff>0</xdr:rowOff>
    </xdr:from>
    <xdr:to>
      <xdr:col>46</xdr:col>
      <xdr:colOff>0</xdr:colOff>
      <xdr:row>5</xdr:row>
      <xdr:rowOff>0</xdr:rowOff>
    </xdr:to>
    <xdr:sp macro="" textlink="">
      <xdr:nvSpPr>
        <xdr:cNvPr id="675" name="OpenSolver114">
          <a:extLst>
            <a:ext uri="{FF2B5EF4-FFF2-40B4-BE49-F238E27FC236}">
              <a16:creationId xmlns:a16="http://schemas.microsoft.com/office/drawing/2014/main" xmlns="" id="{00000000-0008-0000-0200-0000A3020000}"/>
            </a:ext>
          </a:extLst>
        </xdr:cNvPr>
        <xdr:cNvSpPr/>
      </xdr:nvSpPr>
      <xdr:spPr>
        <a:xfrm>
          <a:off x="2743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45</xdr:col>
      <xdr:colOff>0</xdr:colOff>
      <xdr:row>18</xdr:row>
      <xdr:rowOff>0</xdr:rowOff>
    </xdr:to>
    <xdr:cxnSp macro="">
      <xdr:nvCxnSpPr>
        <xdr:cNvPr id="676" name="OpenSolver115">
          <a:extLst>
            <a:ext uri="{FF2B5EF4-FFF2-40B4-BE49-F238E27FC236}">
              <a16:creationId xmlns:a16="http://schemas.microsoft.com/office/drawing/2014/main" xmlns="" id="{00000000-0008-0000-0200-0000A4020000}"/>
            </a:ext>
          </a:extLst>
        </xdr:cNvPr>
        <xdr:cNvCxnSpPr>
          <a:stCxn id="674" idx="0"/>
          <a:endCxn id="675" idx="1"/>
        </xdr:cNvCxnSpPr>
      </xdr:nvCxnSpPr>
      <xdr:spPr>
        <a:xfrm flipV="1">
          <a:off x="7620000" y="857250"/>
          <a:ext cx="19812000" cy="2571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266700</xdr:colOff>
      <xdr:row>10</xdr:row>
      <xdr:rowOff>111125</xdr:rowOff>
    </xdr:from>
    <xdr:to>
      <xdr:col>29</xdr:col>
      <xdr:colOff>38100</xdr:colOff>
      <xdr:row>11</xdr:row>
      <xdr:rowOff>174625</xdr:rowOff>
    </xdr:to>
    <xdr:sp macro="" textlink="">
      <xdr:nvSpPr>
        <xdr:cNvPr id="677" name="OpenSolver116">
          <a:extLst>
            <a:ext uri="{FF2B5EF4-FFF2-40B4-BE49-F238E27FC236}">
              <a16:creationId xmlns:a16="http://schemas.microsoft.com/office/drawing/2014/main" xmlns="" id="{00000000-0008-0000-0200-0000A5020000}"/>
            </a:ext>
          </a:extLst>
        </xdr:cNvPr>
        <xdr:cNvSpPr/>
      </xdr:nvSpPr>
      <xdr:spPr>
        <a:xfrm>
          <a:off x="173355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102</xdr:row>
      <xdr:rowOff>0</xdr:rowOff>
    </xdr:from>
    <xdr:to>
      <xdr:col>13</xdr:col>
      <xdr:colOff>0</xdr:colOff>
      <xdr:row>127</xdr:row>
      <xdr:rowOff>0</xdr:rowOff>
    </xdr:to>
    <xdr:sp macro="" textlink="">
      <xdr:nvSpPr>
        <xdr:cNvPr id="678" name="OpenSolver117">
          <a:extLst>
            <a:ext uri="{FF2B5EF4-FFF2-40B4-BE49-F238E27FC236}">
              <a16:creationId xmlns:a16="http://schemas.microsoft.com/office/drawing/2014/main" xmlns="" id="{00000000-0008-0000-0200-0000A6020000}"/>
            </a:ext>
          </a:extLst>
        </xdr:cNvPr>
        <xdr:cNvSpPr/>
      </xdr:nvSpPr>
      <xdr:spPr>
        <a:xfrm>
          <a:off x="73152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46</xdr:col>
      <xdr:colOff>0</xdr:colOff>
      <xdr:row>4</xdr:row>
      <xdr:rowOff>0</xdr:rowOff>
    </xdr:from>
    <xdr:to>
      <xdr:col>47</xdr:col>
      <xdr:colOff>0</xdr:colOff>
      <xdr:row>5</xdr:row>
      <xdr:rowOff>0</xdr:rowOff>
    </xdr:to>
    <xdr:sp macro="" textlink="">
      <xdr:nvSpPr>
        <xdr:cNvPr id="679" name="OpenSolver118">
          <a:extLst>
            <a:ext uri="{FF2B5EF4-FFF2-40B4-BE49-F238E27FC236}">
              <a16:creationId xmlns:a16="http://schemas.microsoft.com/office/drawing/2014/main" xmlns="" id="{00000000-0008-0000-0200-0000A7020000}"/>
            </a:ext>
          </a:extLst>
        </xdr:cNvPr>
        <xdr:cNvSpPr/>
      </xdr:nvSpPr>
      <xdr:spPr>
        <a:xfrm>
          <a:off x="2804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46</xdr:col>
      <xdr:colOff>0</xdr:colOff>
      <xdr:row>102</xdr:row>
      <xdr:rowOff>0</xdr:rowOff>
    </xdr:to>
    <xdr:cxnSp macro="">
      <xdr:nvCxnSpPr>
        <xdr:cNvPr id="680" name="OpenSolver119">
          <a:extLst>
            <a:ext uri="{FF2B5EF4-FFF2-40B4-BE49-F238E27FC236}">
              <a16:creationId xmlns:a16="http://schemas.microsoft.com/office/drawing/2014/main" xmlns="" id="{00000000-0008-0000-0200-0000A8020000}"/>
            </a:ext>
          </a:extLst>
        </xdr:cNvPr>
        <xdr:cNvCxnSpPr>
          <a:stCxn id="678" idx="0"/>
          <a:endCxn id="679" idx="1"/>
        </xdr:cNvCxnSpPr>
      </xdr:nvCxnSpPr>
      <xdr:spPr>
        <a:xfrm flipV="1">
          <a:off x="7620000" y="857250"/>
          <a:ext cx="20421600" cy="1857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571500</xdr:colOff>
      <xdr:row>52</xdr:row>
      <xdr:rowOff>111125</xdr:rowOff>
    </xdr:from>
    <xdr:to>
      <xdr:col>29</xdr:col>
      <xdr:colOff>342900</xdr:colOff>
      <xdr:row>53</xdr:row>
      <xdr:rowOff>174625</xdr:rowOff>
    </xdr:to>
    <xdr:sp macro="" textlink="">
      <xdr:nvSpPr>
        <xdr:cNvPr id="681" name="OpenSolver120">
          <a:extLst>
            <a:ext uri="{FF2B5EF4-FFF2-40B4-BE49-F238E27FC236}">
              <a16:creationId xmlns:a16="http://schemas.microsoft.com/office/drawing/2014/main" xmlns="" id="{00000000-0008-0000-0200-0000A9020000}"/>
            </a:ext>
          </a:extLst>
        </xdr:cNvPr>
        <xdr:cNvSpPr/>
      </xdr:nvSpPr>
      <xdr:spPr>
        <a:xfrm>
          <a:off x="176403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127</xdr:row>
      <xdr:rowOff>0</xdr:rowOff>
    </xdr:from>
    <xdr:to>
      <xdr:col>13</xdr:col>
      <xdr:colOff>0</xdr:colOff>
      <xdr:row>135</xdr:row>
      <xdr:rowOff>0</xdr:rowOff>
    </xdr:to>
    <xdr:sp macro="" textlink="">
      <xdr:nvSpPr>
        <xdr:cNvPr id="682" name="OpenSolver121">
          <a:extLst>
            <a:ext uri="{FF2B5EF4-FFF2-40B4-BE49-F238E27FC236}">
              <a16:creationId xmlns:a16="http://schemas.microsoft.com/office/drawing/2014/main" xmlns="" id="{00000000-0008-0000-0200-0000AA020000}"/>
            </a:ext>
          </a:extLst>
        </xdr:cNvPr>
        <xdr:cNvSpPr/>
      </xdr:nvSpPr>
      <xdr:spPr>
        <a:xfrm>
          <a:off x="73152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48</xdr:col>
      <xdr:colOff>0</xdr:colOff>
      <xdr:row>5</xdr:row>
      <xdr:rowOff>0</xdr:rowOff>
    </xdr:to>
    <xdr:sp macro="" textlink="">
      <xdr:nvSpPr>
        <xdr:cNvPr id="683" name="OpenSolver122">
          <a:extLst>
            <a:ext uri="{FF2B5EF4-FFF2-40B4-BE49-F238E27FC236}">
              <a16:creationId xmlns:a16="http://schemas.microsoft.com/office/drawing/2014/main" xmlns="" id="{00000000-0008-0000-0200-0000AB020000}"/>
            </a:ext>
          </a:extLst>
        </xdr:cNvPr>
        <xdr:cNvSpPr/>
      </xdr:nvSpPr>
      <xdr:spPr>
        <a:xfrm>
          <a:off x="2865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47</xdr:col>
      <xdr:colOff>0</xdr:colOff>
      <xdr:row>127</xdr:row>
      <xdr:rowOff>0</xdr:rowOff>
    </xdr:to>
    <xdr:cxnSp macro="">
      <xdr:nvCxnSpPr>
        <xdr:cNvPr id="684" name="OpenSolver123">
          <a:extLst>
            <a:ext uri="{FF2B5EF4-FFF2-40B4-BE49-F238E27FC236}">
              <a16:creationId xmlns:a16="http://schemas.microsoft.com/office/drawing/2014/main" xmlns="" id="{00000000-0008-0000-0200-0000AC020000}"/>
            </a:ext>
          </a:extLst>
        </xdr:cNvPr>
        <xdr:cNvCxnSpPr>
          <a:stCxn id="682" idx="0"/>
          <a:endCxn id="683" idx="1"/>
        </xdr:cNvCxnSpPr>
      </xdr:nvCxnSpPr>
      <xdr:spPr>
        <a:xfrm flipV="1">
          <a:off x="7620000" y="857250"/>
          <a:ext cx="21031200" cy="23336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266700</xdr:colOff>
      <xdr:row>65</xdr:row>
      <xdr:rowOff>15875</xdr:rowOff>
    </xdr:from>
    <xdr:to>
      <xdr:col>30</xdr:col>
      <xdr:colOff>38100</xdr:colOff>
      <xdr:row>66</xdr:row>
      <xdr:rowOff>79375</xdr:rowOff>
    </xdr:to>
    <xdr:sp macro="" textlink="">
      <xdr:nvSpPr>
        <xdr:cNvPr id="685" name="OpenSolver124">
          <a:extLst>
            <a:ext uri="{FF2B5EF4-FFF2-40B4-BE49-F238E27FC236}">
              <a16:creationId xmlns:a16="http://schemas.microsoft.com/office/drawing/2014/main" xmlns="" id="{00000000-0008-0000-0200-0000AD020000}"/>
            </a:ext>
          </a:extLst>
        </xdr:cNvPr>
        <xdr:cNvSpPr/>
      </xdr:nvSpPr>
      <xdr:spPr>
        <a:xfrm>
          <a:off x="179451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135</xdr:row>
      <xdr:rowOff>0</xdr:rowOff>
    </xdr:from>
    <xdr:to>
      <xdr:col>13</xdr:col>
      <xdr:colOff>0</xdr:colOff>
      <xdr:row>142</xdr:row>
      <xdr:rowOff>0</xdr:rowOff>
    </xdr:to>
    <xdr:sp macro="" textlink="">
      <xdr:nvSpPr>
        <xdr:cNvPr id="686" name="OpenSolver125">
          <a:extLst>
            <a:ext uri="{FF2B5EF4-FFF2-40B4-BE49-F238E27FC236}">
              <a16:creationId xmlns:a16="http://schemas.microsoft.com/office/drawing/2014/main" xmlns="" id="{00000000-0008-0000-0200-0000AE020000}"/>
            </a:ext>
          </a:extLst>
        </xdr:cNvPr>
        <xdr:cNvSpPr/>
      </xdr:nvSpPr>
      <xdr:spPr>
        <a:xfrm>
          <a:off x="73152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48</xdr:col>
      <xdr:colOff>0</xdr:colOff>
      <xdr:row>4</xdr:row>
      <xdr:rowOff>0</xdr:rowOff>
    </xdr:from>
    <xdr:to>
      <xdr:col>49</xdr:col>
      <xdr:colOff>0</xdr:colOff>
      <xdr:row>5</xdr:row>
      <xdr:rowOff>0</xdr:rowOff>
    </xdr:to>
    <xdr:sp macro="" textlink="">
      <xdr:nvSpPr>
        <xdr:cNvPr id="687" name="OpenSolver126">
          <a:extLst>
            <a:ext uri="{FF2B5EF4-FFF2-40B4-BE49-F238E27FC236}">
              <a16:creationId xmlns:a16="http://schemas.microsoft.com/office/drawing/2014/main" xmlns="" id="{00000000-0008-0000-0200-0000AF020000}"/>
            </a:ext>
          </a:extLst>
        </xdr:cNvPr>
        <xdr:cNvSpPr/>
      </xdr:nvSpPr>
      <xdr:spPr>
        <a:xfrm>
          <a:off x="2926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48</xdr:col>
      <xdr:colOff>0</xdr:colOff>
      <xdr:row>135</xdr:row>
      <xdr:rowOff>0</xdr:rowOff>
    </xdr:to>
    <xdr:cxnSp macro="">
      <xdr:nvCxnSpPr>
        <xdr:cNvPr id="688" name="OpenSolver127">
          <a:extLst>
            <a:ext uri="{FF2B5EF4-FFF2-40B4-BE49-F238E27FC236}">
              <a16:creationId xmlns:a16="http://schemas.microsoft.com/office/drawing/2014/main" xmlns="" id="{00000000-0008-0000-0200-0000B0020000}"/>
            </a:ext>
          </a:extLst>
        </xdr:cNvPr>
        <xdr:cNvCxnSpPr>
          <a:stCxn id="686" idx="0"/>
          <a:endCxn id="687" idx="1"/>
        </xdr:cNvCxnSpPr>
      </xdr:nvCxnSpPr>
      <xdr:spPr>
        <a:xfrm flipV="1">
          <a:off x="7620000" y="857250"/>
          <a:ext cx="21640800" cy="24860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571500</xdr:colOff>
      <xdr:row>69</xdr:row>
      <xdr:rowOff>15875</xdr:rowOff>
    </xdr:from>
    <xdr:to>
      <xdr:col>30</xdr:col>
      <xdr:colOff>342900</xdr:colOff>
      <xdr:row>70</xdr:row>
      <xdr:rowOff>79375</xdr:rowOff>
    </xdr:to>
    <xdr:sp macro="" textlink="">
      <xdr:nvSpPr>
        <xdr:cNvPr id="689" name="OpenSolver128">
          <a:extLst>
            <a:ext uri="{FF2B5EF4-FFF2-40B4-BE49-F238E27FC236}">
              <a16:creationId xmlns:a16="http://schemas.microsoft.com/office/drawing/2014/main" xmlns="" id="{00000000-0008-0000-0200-0000B1020000}"/>
            </a:ext>
          </a:extLst>
        </xdr:cNvPr>
        <xdr:cNvSpPr/>
      </xdr:nvSpPr>
      <xdr:spPr>
        <a:xfrm>
          <a:off x="182499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142</xdr:row>
      <xdr:rowOff>0</xdr:rowOff>
    </xdr:from>
    <xdr:to>
      <xdr:col>13</xdr:col>
      <xdr:colOff>0</xdr:colOff>
      <xdr:row>277</xdr:row>
      <xdr:rowOff>0</xdr:rowOff>
    </xdr:to>
    <xdr:sp macro="" textlink="">
      <xdr:nvSpPr>
        <xdr:cNvPr id="690" name="OpenSolver129">
          <a:extLst>
            <a:ext uri="{FF2B5EF4-FFF2-40B4-BE49-F238E27FC236}">
              <a16:creationId xmlns:a16="http://schemas.microsoft.com/office/drawing/2014/main" xmlns="" id="{00000000-0008-0000-0200-0000B2020000}"/>
            </a:ext>
          </a:extLst>
        </xdr:cNvPr>
        <xdr:cNvSpPr/>
      </xdr:nvSpPr>
      <xdr:spPr>
        <a:xfrm>
          <a:off x="73152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49</xdr:col>
      <xdr:colOff>0</xdr:colOff>
      <xdr:row>4</xdr:row>
      <xdr:rowOff>0</xdr:rowOff>
    </xdr:from>
    <xdr:to>
      <xdr:col>50</xdr:col>
      <xdr:colOff>0</xdr:colOff>
      <xdr:row>5</xdr:row>
      <xdr:rowOff>0</xdr:rowOff>
    </xdr:to>
    <xdr:sp macro="" textlink="">
      <xdr:nvSpPr>
        <xdr:cNvPr id="691" name="OpenSolver130">
          <a:extLst>
            <a:ext uri="{FF2B5EF4-FFF2-40B4-BE49-F238E27FC236}">
              <a16:creationId xmlns:a16="http://schemas.microsoft.com/office/drawing/2014/main" xmlns="" id="{00000000-0008-0000-0200-0000B3020000}"/>
            </a:ext>
          </a:extLst>
        </xdr:cNvPr>
        <xdr:cNvSpPr/>
      </xdr:nvSpPr>
      <xdr:spPr>
        <a:xfrm>
          <a:off x="2987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49</xdr:col>
      <xdr:colOff>0</xdr:colOff>
      <xdr:row>142</xdr:row>
      <xdr:rowOff>0</xdr:rowOff>
    </xdr:to>
    <xdr:cxnSp macro="">
      <xdr:nvCxnSpPr>
        <xdr:cNvPr id="692" name="OpenSolver131">
          <a:extLst>
            <a:ext uri="{FF2B5EF4-FFF2-40B4-BE49-F238E27FC236}">
              <a16:creationId xmlns:a16="http://schemas.microsoft.com/office/drawing/2014/main" xmlns="" id="{00000000-0008-0000-0200-0000B4020000}"/>
            </a:ext>
          </a:extLst>
        </xdr:cNvPr>
        <xdr:cNvCxnSpPr>
          <a:stCxn id="690" idx="0"/>
          <a:endCxn id="691" idx="1"/>
        </xdr:cNvCxnSpPr>
      </xdr:nvCxnSpPr>
      <xdr:spPr>
        <a:xfrm flipV="1">
          <a:off x="7620000" y="857250"/>
          <a:ext cx="22250400" cy="2619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266700</xdr:colOff>
      <xdr:row>72</xdr:row>
      <xdr:rowOff>111125</xdr:rowOff>
    </xdr:from>
    <xdr:to>
      <xdr:col>31</xdr:col>
      <xdr:colOff>38100</xdr:colOff>
      <xdr:row>73</xdr:row>
      <xdr:rowOff>174625</xdr:rowOff>
    </xdr:to>
    <xdr:sp macro="" textlink="">
      <xdr:nvSpPr>
        <xdr:cNvPr id="693" name="OpenSolver132">
          <a:extLst>
            <a:ext uri="{FF2B5EF4-FFF2-40B4-BE49-F238E27FC236}">
              <a16:creationId xmlns:a16="http://schemas.microsoft.com/office/drawing/2014/main" xmlns="" id="{00000000-0008-0000-0200-0000B5020000}"/>
            </a:ext>
          </a:extLst>
        </xdr:cNvPr>
        <xdr:cNvSpPr/>
      </xdr:nvSpPr>
      <xdr:spPr>
        <a:xfrm>
          <a:off x="185547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277</xdr:row>
      <xdr:rowOff>0</xdr:rowOff>
    </xdr:from>
    <xdr:to>
      <xdr:col>13</xdr:col>
      <xdr:colOff>0</xdr:colOff>
      <xdr:row>304</xdr:row>
      <xdr:rowOff>0</xdr:rowOff>
    </xdr:to>
    <xdr:sp macro="" textlink="">
      <xdr:nvSpPr>
        <xdr:cNvPr id="694" name="OpenSolver133">
          <a:extLst>
            <a:ext uri="{FF2B5EF4-FFF2-40B4-BE49-F238E27FC236}">
              <a16:creationId xmlns:a16="http://schemas.microsoft.com/office/drawing/2014/main" xmlns="" id="{00000000-0008-0000-0200-0000B6020000}"/>
            </a:ext>
          </a:extLst>
        </xdr:cNvPr>
        <xdr:cNvSpPr/>
      </xdr:nvSpPr>
      <xdr:spPr>
        <a:xfrm>
          <a:off x="73152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50</xdr:col>
      <xdr:colOff>0</xdr:colOff>
      <xdr:row>4</xdr:row>
      <xdr:rowOff>0</xdr:rowOff>
    </xdr:from>
    <xdr:to>
      <xdr:col>51</xdr:col>
      <xdr:colOff>0</xdr:colOff>
      <xdr:row>5</xdr:row>
      <xdr:rowOff>0</xdr:rowOff>
    </xdr:to>
    <xdr:sp macro="" textlink="">
      <xdr:nvSpPr>
        <xdr:cNvPr id="695" name="OpenSolver134">
          <a:extLst>
            <a:ext uri="{FF2B5EF4-FFF2-40B4-BE49-F238E27FC236}">
              <a16:creationId xmlns:a16="http://schemas.microsoft.com/office/drawing/2014/main" xmlns="" id="{00000000-0008-0000-0200-0000B7020000}"/>
            </a:ext>
          </a:extLst>
        </xdr:cNvPr>
        <xdr:cNvSpPr/>
      </xdr:nvSpPr>
      <xdr:spPr>
        <a:xfrm>
          <a:off x="3048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50</xdr:col>
      <xdr:colOff>0</xdr:colOff>
      <xdr:row>277</xdr:row>
      <xdr:rowOff>0</xdr:rowOff>
    </xdr:to>
    <xdr:cxnSp macro="">
      <xdr:nvCxnSpPr>
        <xdr:cNvPr id="696" name="OpenSolver135">
          <a:extLst>
            <a:ext uri="{FF2B5EF4-FFF2-40B4-BE49-F238E27FC236}">
              <a16:creationId xmlns:a16="http://schemas.microsoft.com/office/drawing/2014/main" xmlns="" id="{00000000-0008-0000-0200-0000B8020000}"/>
            </a:ext>
          </a:extLst>
        </xdr:cNvPr>
        <xdr:cNvCxnSpPr>
          <a:stCxn id="694" idx="0"/>
          <a:endCxn id="695" idx="1"/>
        </xdr:cNvCxnSpPr>
      </xdr:nvCxnSpPr>
      <xdr:spPr>
        <a:xfrm flipV="1">
          <a:off x="7620000" y="857250"/>
          <a:ext cx="22860000" cy="51911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571500</xdr:colOff>
      <xdr:row>140</xdr:row>
      <xdr:rowOff>15875</xdr:rowOff>
    </xdr:from>
    <xdr:to>
      <xdr:col>31</xdr:col>
      <xdr:colOff>342900</xdr:colOff>
      <xdr:row>141</xdr:row>
      <xdr:rowOff>79375</xdr:rowOff>
    </xdr:to>
    <xdr:sp macro="" textlink="">
      <xdr:nvSpPr>
        <xdr:cNvPr id="697" name="OpenSolver136">
          <a:extLst>
            <a:ext uri="{FF2B5EF4-FFF2-40B4-BE49-F238E27FC236}">
              <a16:creationId xmlns:a16="http://schemas.microsoft.com/office/drawing/2014/main" xmlns="" id="{00000000-0008-0000-0200-0000B9020000}"/>
            </a:ext>
          </a:extLst>
        </xdr:cNvPr>
        <xdr:cNvSpPr/>
      </xdr:nvSpPr>
      <xdr:spPr>
        <a:xfrm>
          <a:off x="188595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304</xdr:row>
      <xdr:rowOff>0</xdr:rowOff>
    </xdr:from>
    <xdr:to>
      <xdr:col>13</xdr:col>
      <xdr:colOff>0</xdr:colOff>
      <xdr:row>313</xdr:row>
      <xdr:rowOff>0</xdr:rowOff>
    </xdr:to>
    <xdr:sp macro="" textlink="">
      <xdr:nvSpPr>
        <xdr:cNvPr id="698" name="OpenSolver137">
          <a:extLst>
            <a:ext uri="{FF2B5EF4-FFF2-40B4-BE49-F238E27FC236}">
              <a16:creationId xmlns:a16="http://schemas.microsoft.com/office/drawing/2014/main" xmlns="" id="{00000000-0008-0000-0200-0000BA020000}"/>
            </a:ext>
          </a:extLst>
        </xdr:cNvPr>
        <xdr:cNvSpPr/>
      </xdr:nvSpPr>
      <xdr:spPr>
        <a:xfrm>
          <a:off x="73152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51</xdr:col>
      <xdr:colOff>0</xdr:colOff>
      <xdr:row>4</xdr:row>
      <xdr:rowOff>0</xdr:rowOff>
    </xdr:from>
    <xdr:to>
      <xdr:col>52</xdr:col>
      <xdr:colOff>0</xdr:colOff>
      <xdr:row>5</xdr:row>
      <xdr:rowOff>0</xdr:rowOff>
    </xdr:to>
    <xdr:sp macro="" textlink="">
      <xdr:nvSpPr>
        <xdr:cNvPr id="699" name="OpenSolver138">
          <a:extLst>
            <a:ext uri="{FF2B5EF4-FFF2-40B4-BE49-F238E27FC236}">
              <a16:creationId xmlns:a16="http://schemas.microsoft.com/office/drawing/2014/main" xmlns="" id="{00000000-0008-0000-0200-0000BB020000}"/>
            </a:ext>
          </a:extLst>
        </xdr:cNvPr>
        <xdr:cNvSpPr/>
      </xdr:nvSpPr>
      <xdr:spPr>
        <a:xfrm>
          <a:off x="3108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51</xdr:col>
      <xdr:colOff>0</xdr:colOff>
      <xdr:row>304</xdr:row>
      <xdr:rowOff>0</xdr:rowOff>
    </xdr:to>
    <xdr:cxnSp macro="">
      <xdr:nvCxnSpPr>
        <xdr:cNvPr id="700" name="OpenSolver139">
          <a:extLst>
            <a:ext uri="{FF2B5EF4-FFF2-40B4-BE49-F238E27FC236}">
              <a16:creationId xmlns:a16="http://schemas.microsoft.com/office/drawing/2014/main" xmlns="" id="{00000000-0008-0000-0200-0000BC020000}"/>
            </a:ext>
          </a:extLst>
        </xdr:cNvPr>
        <xdr:cNvCxnSpPr>
          <a:stCxn id="698" idx="0"/>
          <a:endCxn id="699" idx="1"/>
        </xdr:cNvCxnSpPr>
      </xdr:nvCxnSpPr>
      <xdr:spPr>
        <a:xfrm flipV="1">
          <a:off x="7620000" y="857250"/>
          <a:ext cx="23469600" cy="57054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266700</xdr:colOff>
      <xdr:row>153</xdr:row>
      <xdr:rowOff>111125</xdr:rowOff>
    </xdr:from>
    <xdr:to>
      <xdr:col>32</xdr:col>
      <xdr:colOff>38100</xdr:colOff>
      <xdr:row>154</xdr:row>
      <xdr:rowOff>174625</xdr:rowOff>
    </xdr:to>
    <xdr:sp macro="" textlink="">
      <xdr:nvSpPr>
        <xdr:cNvPr id="701" name="OpenSolver140">
          <a:extLst>
            <a:ext uri="{FF2B5EF4-FFF2-40B4-BE49-F238E27FC236}">
              <a16:creationId xmlns:a16="http://schemas.microsoft.com/office/drawing/2014/main" xmlns="" id="{00000000-0008-0000-0200-0000BD020000}"/>
            </a:ext>
          </a:extLst>
        </xdr:cNvPr>
        <xdr:cNvSpPr/>
      </xdr:nvSpPr>
      <xdr:spPr>
        <a:xfrm>
          <a:off x="191643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313</xdr:row>
      <xdr:rowOff>0</xdr:rowOff>
    </xdr:from>
    <xdr:to>
      <xdr:col>13</xdr:col>
      <xdr:colOff>0</xdr:colOff>
      <xdr:row>315</xdr:row>
      <xdr:rowOff>0</xdr:rowOff>
    </xdr:to>
    <xdr:sp macro="" textlink="">
      <xdr:nvSpPr>
        <xdr:cNvPr id="702" name="OpenSolver141">
          <a:extLst>
            <a:ext uri="{FF2B5EF4-FFF2-40B4-BE49-F238E27FC236}">
              <a16:creationId xmlns:a16="http://schemas.microsoft.com/office/drawing/2014/main" xmlns="" id="{00000000-0008-0000-0200-0000BE020000}"/>
            </a:ext>
          </a:extLst>
        </xdr:cNvPr>
        <xdr:cNvSpPr/>
      </xdr:nvSpPr>
      <xdr:spPr>
        <a:xfrm>
          <a:off x="73152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52</xdr:col>
      <xdr:colOff>0</xdr:colOff>
      <xdr:row>4</xdr:row>
      <xdr:rowOff>0</xdr:rowOff>
    </xdr:from>
    <xdr:to>
      <xdr:col>53</xdr:col>
      <xdr:colOff>0</xdr:colOff>
      <xdr:row>5</xdr:row>
      <xdr:rowOff>0</xdr:rowOff>
    </xdr:to>
    <xdr:sp macro="" textlink="">
      <xdr:nvSpPr>
        <xdr:cNvPr id="703" name="OpenSolver142">
          <a:extLst>
            <a:ext uri="{FF2B5EF4-FFF2-40B4-BE49-F238E27FC236}">
              <a16:creationId xmlns:a16="http://schemas.microsoft.com/office/drawing/2014/main" xmlns="" id="{00000000-0008-0000-0200-0000BF020000}"/>
            </a:ext>
          </a:extLst>
        </xdr:cNvPr>
        <xdr:cNvSpPr/>
      </xdr:nvSpPr>
      <xdr:spPr>
        <a:xfrm>
          <a:off x="3169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52</xdr:col>
      <xdr:colOff>0</xdr:colOff>
      <xdr:row>313</xdr:row>
      <xdr:rowOff>0</xdr:rowOff>
    </xdr:to>
    <xdr:cxnSp macro="">
      <xdr:nvCxnSpPr>
        <xdr:cNvPr id="704" name="OpenSolver143">
          <a:extLst>
            <a:ext uri="{FF2B5EF4-FFF2-40B4-BE49-F238E27FC236}">
              <a16:creationId xmlns:a16="http://schemas.microsoft.com/office/drawing/2014/main" xmlns="" id="{00000000-0008-0000-0200-0000C0020000}"/>
            </a:ext>
          </a:extLst>
        </xdr:cNvPr>
        <xdr:cNvCxnSpPr>
          <a:stCxn id="702" idx="0"/>
          <a:endCxn id="703" idx="1"/>
        </xdr:cNvCxnSpPr>
      </xdr:nvCxnSpPr>
      <xdr:spPr>
        <a:xfrm flipV="1">
          <a:off x="7620000" y="857250"/>
          <a:ext cx="24079200" cy="58769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571500</xdr:colOff>
      <xdr:row>158</xdr:row>
      <xdr:rowOff>15875</xdr:rowOff>
    </xdr:from>
    <xdr:to>
      <xdr:col>32</xdr:col>
      <xdr:colOff>342900</xdr:colOff>
      <xdr:row>159</xdr:row>
      <xdr:rowOff>79375</xdr:rowOff>
    </xdr:to>
    <xdr:sp macro="" textlink="">
      <xdr:nvSpPr>
        <xdr:cNvPr id="705" name="OpenSolver144">
          <a:extLst>
            <a:ext uri="{FF2B5EF4-FFF2-40B4-BE49-F238E27FC236}">
              <a16:creationId xmlns:a16="http://schemas.microsoft.com/office/drawing/2014/main" xmlns="" id="{00000000-0008-0000-0200-0000C1020000}"/>
            </a:ext>
          </a:extLst>
        </xdr:cNvPr>
        <xdr:cNvSpPr/>
      </xdr:nvSpPr>
      <xdr:spPr>
        <a:xfrm>
          <a:off x="194691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0</xdr:colOff>
      <xdr:row>315</xdr:row>
      <xdr:rowOff>0</xdr:rowOff>
    </xdr:from>
    <xdr:to>
      <xdr:col>13</xdr:col>
      <xdr:colOff>0</xdr:colOff>
      <xdr:row>317</xdr:row>
      <xdr:rowOff>0</xdr:rowOff>
    </xdr:to>
    <xdr:sp macro="" textlink="">
      <xdr:nvSpPr>
        <xdr:cNvPr id="706" name="OpenSolver145">
          <a:extLst>
            <a:ext uri="{FF2B5EF4-FFF2-40B4-BE49-F238E27FC236}">
              <a16:creationId xmlns:a16="http://schemas.microsoft.com/office/drawing/2014/main" xmlns="" id="{00000000-0008-0000-0200-0000C2020000}"/>
            </a:ext>
          </a:extLst>
        </xdr:cNvPr>
        <xdr:cNvSpPr/>
      </xdr:nvSpPr>
      <xdr:spPr>
        <a:xfrm>
          <a:off x="73152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53</xdr:col>
      <xdr:colOff>0</xdr:colOff>
      <xdr:row>4</xdr:row>
      <xdr:rowOff>0</xdr:rowOff>
    </xdr:from>
    <xdr:to>
      <xdr:col>54</xdr:col>
      <xdr:colOff>0</xdr:colOff>
      <xdr:row>5</xdr:row>
      <xdr:rowOff>0</xdr:rowOff>
    </xdr:to>
    <xdr:sp macro="" textlink="">
      <xdr:nvSpPr>
        <xdr:cNvPr id="707" name="OpenSolver146">
          <a:extLst>
            <a:ext uri="{FF2B5EF4-FFF2-40B4-BE49-F238E27FC236}">
              <a16:creationId xmlns:a16="http://schemas.microsoft.com/office/drawing/2014/main" xmlns="" id="{00000000-0008-0000-0200-0000C3020000}"/>
            </a:ext>
          </a:extLst>
        </xdr:cNvPr>
        <xdr:cNvSpPr/>
      </xdr:nvSpPr>
      <xdr:spPr>
        <a:xfrm>
          <a:off x="3230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12</xdr:col>
      <xdr:colOff>304800</xdr:colOff>
      <xdr:row>4</xdr:row>
      <xdr:rowOff>95250</xdr:rowOff>
    </xdr:from>
    <xdr:to>
      <xdr:col>53</xdr:col>
      <xdr:colOff>0</xdr:colOff>
      <xdr:row>315</xdr:row>
      <xdr:rowOff>0</xdr:rowOff>
    </xdr:to>
    <xdr:cxnSp macro="">
      <xdr:nvCxnSpPr>
        <xdr:cNvPr id="708" name="OpenSolver147">
          <a:extLst>
            <a:ext uri="{FF2B5EF4-FFF2-40B4-BE49-F238E27FC236}">
              <a16:creationId xmlns:a16="http://schemas.microsoft.com/office/drawing/2014/main" xmlns="" id="{00000000-0008-0000-0200-0000C4020000}"/>
            </a:ext>
          </a:extLst>
        </xdr:cNvPr>
        <xdr:cNvCxnSpPr>
          <a:stCxn id="706" idx="0"/>
          <a:endCxn id="707" idx="1"/>
        </xdr:cNvCxnSpPr>
      </xdr:nvCxnSpPr>
      <xdr:spPr>
        <a:xfrm flipV="1">
          <a:off x="7620000" y="857250"/>
          <a:ext cx="24688800" cy="59150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266700</xdr:colOff>
      <xdr:row>159</xdr:row>
      <xdr:rowOff>15875</xdr:rowOff>
    </xdr:from>
    <xdr:to>
      <xdr:col>33</xdr:col>
      <xdr:colOff>38100</xdr:colOff>
      <xdr:row>160</xdr:row>
      <xdr:rowOff>79375</xdr:rowOff>
    </xdr:to>
    <xdr:sp macro="" textlink="">
      <xdr:nvSpPr>
        <xdr:cNvPr id="709" name="OpenSolver148">
          <a:extLst>
            <a:ext uri="{FF2B5EF4-FFF2-40B4-BE49-F238E27FC236}">
              <a16:creationId xmlns:a16="http://schemas.microsoft.com/office/drawing/2014/main" xmlns="" id="{00000000-0008-0000-0200-0000C5020000}"/>
            </a:ext>
          </a:extLst>
        </xdr:cNvPr>
        <xdr:cNvSpPr/>
      </xdr:nvSpPr>
      <xdr:spPr>
        <a:xfrm>
          <a:off x="197739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18</xdr:row>
      <xdr:rowOff>0</xdr:rowOff>
    </xdr:from>
    <xdr:to>
      <xdr:col>16</xdr:col>
      <xdr:colOff>0</xdr:colOff>
      <xdr:row>102</xdr:row>
      <xdr:rowOff>0</xdr:rowOff>
    </xdr:to>
    <xdr:sp macro="" textlink="">
      <xdr:nvSpPr>
        <xdr:cNvPr id="710" name="OpenSolver149">
          <a:extLst>
            <a:ext uri="{FF2B5EF4-FFF2-40B4-BE49-F238E27FC236}">
              <a16:creationId xmlns:a16="http://schemas.microsoft.com/office/drawing/2014/main" xmlns="" id="{00000000-0008-0000-0200-0000C6020000}"/>
            </a:ext>
          </a:extLst>
        </xdr:cNvPr>
        <xdr:cNvSpPr/>
      </xdr:nvSpPr>
      <xdr:spPr>
        <a:xfrm>
          <a:off x="91440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54</xdr:col>
      <xdr:colOff>0</xdr:colOff>
      <xdr:row>4</xdr:row>
      <xdr:rowOff>0</xdr:rowOff>
    </xdr:from>
    <xdr:to>
      <xdr:col>55</xdr:col>
      <xdr:colOff>0</xdr:colOff>
      <xdr:row>5</xdr:row>
      <xdr:rowOff>0</xdr:rowOff>
    </xdr:to>
    <xdr:sp macro="" textlink="">
      <xdr:nvSpPr>
        <xdr:cNvPr id="711" name="OpenSolver150">
          <a:extLst>
            <a:ext uri="{FF2B5EF4-FFF2-40B4-BE49-F238E27FC236}">
              <a16:creationId xmlns:a16="http://schemas.microsoft.com/office/drawing/2014/main" xmlns="" id="{00000000-0008-0000-0200-0000C7020000}"/>
            </a:ext>
          </a:extLst>
        </xdr:cNvPr>
        <xdr:cNvSpPr/>
      </xdr:nvSpPr>
      <xdr:spPr>
        <a:xfrm>
          <a:off x="3291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54</xdr:col>
      <xdr:colOff>0</xdr:colOff>
      <xdr:row>18</xdr:row>
      <xdr:rowOff>0</xdr:rowOff>
    </xdr:to>
    <xdr:cxnSp macro="">
      <xdr:nvCxnSpPr>
        <xdr:cNvPr id="712" name="OpenSolver151">
          <a:extLst>
            <a:ext uri="{FF2B5EF4-FFF2-40B4-BE49-F238E27FC236}">
              <a16:creationId xmlns:a16="http://schemas.microsoft.com/office/drawing/2014/main" xmlns="" id="{00000000-0008-0000-0200-0000C8020000}"/>
            </a:ext>
          </a:extLst>
        </xdr:cNvPr>
        <xdr:cNvCxnSpPr>
          <a:stCxn id="710" idx="0"/>
          <a:endCxn id="711" idx="1"/>
        </xdr:cNvCxnSpPr>
      </xdr:nvCxnSpPr>
      <xdr:spPr>
        <a:xfrm flipV="1">
          <a:off x="9448800" y="857250"/>
          <a:ext cx="23469600" cy="2571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266700</xdr:colOff>
      <xdr:row>10</xdr:row>
      <xdr:rowOff>111125</xdr:rowOff>
    </xdr:from>
    <xdr:to>
      <xdr:col>35</xdr:col>
      <xdr:colOff>38100</xdr:colOff>
      <xdr:row>11</xdr:row>
      <xdr:rowOff>174625</xdr:rowOff>
    </xdr:to>
    <xdr:sp macro="" textlink="">
      <xdr:nvSpPr>
        <xdr:cNvPr id="713" name="OpenSolver152">
          <a:extLst>
            <a:ext uri="{FF2B5EF4-FFF2-40B4-BE49-F238E27FC236}">
              <a16:creationId xmlns:a16="http://schemas.microsoft.com/office/drawing/2014/main" xmlns="" id="{00000000-0008-0000-0200-0000C9020000}"/>
            </a:ext>
          </a:extLst>
        </xdr:cNvPr>
        <xdr:cNvSpPr/>
      </xdr:nvSpPr>
      <xdr:spPr>
        <a:xfrm>
          <a:off x="209931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102</xdr:row>
      <xdr:rowOff>0</xdr:rowOff>
    </xdr:from>
    <xdr:to>
      <xdr:col>16</xdr:col>
      <xdr:colOff>0</xdr:colOff>
      <xdr:row>127</xdr:row>
      <xdr:rowOff>0</xdr:rowOff>
    </xdr:to>
    <xdr:sp macro="" textlink="">
      <xdr:nvSpPr>
        <xdr:cNvPr id="714" name="OpenSolver153">
          <a:extLst>
            <a:ext uri="{FF2B5EF4-FFF2-40B4-BE49-F238E27FC236}">
              <a16:creationId xmlns:a16="http://schemas.microsoft.com/office/drawing/2014/main" xmlns="" id="{00000000-0008-0000-0200-0000CA020000}"/>
            </a:ext>
          </a:extLst>
        </xdr:cNvPr>
        <xdr:cNvSpPr/>
      </xdr:nvSpPr>
      <xdr:spPr>
        <a:xfrm>
          <a:off x="91440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55</xdr:col>
      <xdr:colOff>0</xdr:colOff>
      <xdr:row>4</xdr:row>
      <xdr:rowOff>0</xdr:rowOff>
    </xdr:from>
    <xdr:to>
      <xdr:col>56</xdr:col>
      <xdr:colOff>0</xdr:colOff>
      <xdr:row>5</xdr:row>
      <xdr:rowOff>0</xdr:rowOff>
    </xdr:to>
    <xdr:sp macro="" textlink="">
      <xdr:nvSpPr>
        <xdr:cNvPr id="715" name="OpenSolver154">
          <a:extLst>
            <a:ext uri="{FF2B5EF4-FFF2-40B4-BE49-F238E27FC236}">
              <a16:creationId xmlns:a16="http://schemas.microsoft.com/office/drawing/2014/main" xmlns="" id="{00000000-0008-0000-0200-0000CB020000}"/>
            </a:ext>
          </a:extLst>
        </xdr:cNvPr>
        <xdr:cNvSpPr/>
      </xdr:nvSpPr>
      <xdr:spPr>
        <a:xfrm>
          <a:off x="3352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55</xdr:col>
      <xdr:colOff>0</xdr:colOff>
      <xdr:row>102</xdr:row>
      <xdr:rowOff>0</xdr:rowOff>
    </xdr:to>
    <xdr:cxnSp macro="">
      <xdr:nvCxnSpPr>
        <xdr:cNvPr id="716" name="OpenSolver155">
          <a:extLst>
            <a:ext uri="{FF2B5EF4-FFF2-40B4-BE49-F238E27FC236}">
              <a16:creationId xmlns:a16="http://schemas.microsoft.com/office/drawing/2014/main" xmlns="" id="{00000000-0008-0000-0200-0000CC020000}"/>
            </a:ext>
          </a:extLst>
        </xdr:cNvPr>
        <xdr:cNvCxnSpPr>
          <a:stCxn id="714" idx="0"/>
          <a:endCxn id="715" idx="1"/>
        </xdr:cNvCxnSpPr>
      </xdr:nvCxnSpPr>
      <xdr:spPr>
        <a:xfrm flipV="1">
          <a:off x="9448800" y="857250"/>
          <a:ext cx="24079200" cy="1857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571500</xdr:colOff>
      <xdr:row>52</xdr:row>
      <xdr:rowOff>111125</xdr:rowOff>
    </xdr:from>
    <xdr:to>
      <xdr:col>35</xdr:col>
      <xdr:colOff>342900</xdr:colOff>
      <xdr:row>53</xdr:row>
      <xdr:rowOff>174625</xdr:rowOff>
    </xdr:to>
    <xdr:sp macro="" textlink="">
      <xdr:nvSpPr>
        <xdr:cNvPr id="717" name="OpenSolver156">
          <a:extLst>
            <a:ext uri="{FF2B5EF4-FFF2-40B4-BE49-F238E27FC236}">
              <a16:creationId xmlns:a16="http://schemas.microsoft.com/office/drawing/2014/main" xmlns="" id="{00000000-0008-0000-0200-0000CD020000}"/>
            </a:ext>
          </a:extLst>
        </xdr:cNvPr>
        <xdr:cNvSpPr/>
      </xdr:nvSpPr>
      <xdr:spPr>
        <a:xfrm>
          <a:off x="212979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127</xdr:row>
      <xdr:rowOff>0</xdr:rowOff>
    </xdr:from>
    <xdr:to>
      <xdr:col>16</xdr:col>
      <xdr:colOff>0</xdr:colOff>
      <xdr:row>135</xdr:row>
      <xdr:rowOff>0</xdr:rowOff>
    </xdr:to>
    <xdr:sp macro="" textlink="">
      <xdr:nvSpPr>
        <xdr:cNvPr id="718" name="OpenSolver157">
          <a:extLst>
            <a:ext uri="{FF2B5EF4-FFF2-40B4-BE49-F238E27FC236}">
              <a16:creationId xmlns:a16="http://schemas.microsoft.com/office/drawing/2014/main" xmlns="" id="{00000000-0008-0000-0200-0000CE020000}"/>
            </a:ext>
          </a:extLst>
        </xdr:cNvPr>
        <xdr:cNvSpPr/>
      </xdr:nvSpPr>
      <xdr:spPr>
        <a:xfrm>
          <a:off x="91440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56</xdr:col>
      <xdr:colOff>0</xdr:colOff>
      <xdr:row>4</xdr:row>
      <xdr:rowOff>0</xdr:rowOff>
    </xdr:from>
    <xdr:to>
      <xdr:col>57</xdr:col>
      <xdr:colOff>0</xdr:colOff>
      <xdr:row>5</xdr:row>
      <xdr:rowOff>0</xdr:rowOff>
    </xdr:to>
    <xdr:sp macro="" textlink="">
      <xdr:nvSpPr>
        <xdr:cNvPr id="719" name="OpenSolver158">
          <a:extLst>
            <a:ext uri="{FF2B5EF4-FFF2-40B4-BE49-F238E27FC236}">
              <a16:creationId xmlns:a16="http://schemas.microsoft.com/office/drawing/2014/main" xmlns="" id="{00000000-0008-0000-0200-0000CF020000}"/>
            </a:ext>
          </a:extLst>
        </xdr:cNvPr>
        <xdr:cNvSpPr/>
      </xdr:nvSpPr>
      <xdr:spPr>
        <a:xfrm>
          <a:off x="3413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56</xdr:col>
      <xdr:colOff>0</xdr:colOff>
      <xdr:row>127</xdr:row>
      <xdr:rowOff>0</xdr:rowOff>
    </xdr:to>
    <xdr:cxnSp macro="">
      <xdr:nvCxnSpPr>
        <xdr:cNvPr id="720" name="OpenSolver159">
          <a:extLst>
            <a:ext uri="{FF2B5EF4-FFF2-40B4-BE49-F238E27FC236}">
              <a16:creationId xmlns:a16="http://schemas.microsoft.com/office/drawing/2014/main" xmlns="" id="{00000000-0008-0000-0200-0000D0020000}"/>
            </a:ext>
          </a:extLst>
        </xdr:cNvPr>
        <xdr:cNvCxnSpPr>
          <a:stCxn id="718" idx="0"/>
          <a:endCxn id="719" idx="1"/>
        </xdr:cNvCxnSpPr>
      </xdr:nvCxnSpPr>
      <xdr:spPr>
        <a:xfrm flipV="1">
          <a:off x="9448800" y="857250"/>
          <a:ext cx="24688800" cy="23336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266700</xdr:colOff>
      <xdr:row>65</xdr:row>
      <xdr:rowOff>15875</xdr:rowOff>
    </xdr:from>
    <xdr:to>
      <xdr:col>36</xdr:col>
      <xdr:colOff>38100</xdr:colOff>
      <xdr:row>66</xdr:row>
      <xdr:rowOff>79375</xdr:rowOff>
    </xdr:to>
    <xdr:sp macro="" textlink="">
      <xdr:nvSpPr>
        <xdr:cNvPr id="721" name="OpenSolver160">
          <a:extLst>
            <a:ext uri="{FF2B5EF4-FFF2-40B4-BE49-F238E27FC236}">
              <a16:creationId xmlns:a16="http://schemas.microsoft.com/office/drawing/2014/main" xmlns="" id="{00000000-0008-0000-0200-0000D1020000}"/>
            </a:ext>
          </a:extLst>
        </xdr:cNvPr>
        <xdr:cNvSpPr/>
      </xdr:nvSpPr>
      <xdr:spPr>
        <a:xfrm>
          <a:off x="216027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135</xdr:row>
      <xdr:rowOff>0</xdr:rowOff>
    </xdr:from>
    <xdr:to>
      <xdr:col>16</xdr:col>
      <xdr:colOff>0</xdr:colOff>
      <xdr:row>142</xdr:row>
      <xdr:rowOff>0</xdr:rowOff>
    </xdr:to>
    <xdr:sp macro="" textlink="">
      <xdr:nvSpPr>
        <xdr:cNvPr id="722" name="OpenSolver161">
          <a:extLst>
            <a:ext uri="{FF2B5EF4-FFF2-40B4-BE49-F238E27FC236}">
              <a16:creationId xmlns:a16="http://schemas.microsoft.com/office/drawing/2014/main" xmlns="" id="{00000000-0008-0000-0200-0000D2020000}"/>
            </a:ext>
          </a:extLst>
        </xdr:cNvPr>
        <xdr:cNvSpPr/>
      </xdr:nvSpPr>
      <xdr:spPr>
        <a:xfrm>
          <a:off x="91440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57</xdr:col>
      <xdr:colOff>0</xdr:colOff>
      <xdr:row>4</xdr:row>
      <xdr:rowOff>0</xdr:rowOff>
    </xdr:from>
    <xdr:to>
      <xdr:col>58</xdr:col>
      <xdr:colOff>0</xdr:colOff>
      <xdr:row>5</xdr:row>
      <xdr:rowOff>0</xdr:rowOff>
    </xdr:to>
    <xdr:sp macro="" textlink="">
      <xdr:nvSpPr>
        <xdr:cNvPr id="723" name="OpenSolver162">
          <a:extLst>
            <a:ext uri="{FF2B5EF4-FFF2-40B4-BE49-F238E27FC236}">
              <a16:creationId xmlns:a16="http://schemas.microsoft.com/office/drawing/2014/main" xmlns="" id="{00000000-0008-0000-0200-0000D3020000}"/>
            </a:ext>
          </a:extLst>
        </xdr:cNvPr>
        <xdr:cNvSpPr/>
      </xdr:nvSpPr>
      <xdr:spPr>
        <a:xfrm>
          <a:off x="3474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57</xdr:col>
      <xdr:colOff>0</xdr:colOff>
      <xdr:row>135</xdr:row>
      <xdr:rowOff>0</xdr:rowOff>
    </xdr:to>
    <xdr:cxnSp macro="">
      <xdr:nvCxnSpPr>
        <xdr:cNvPr id="724" name="OpenSolver163">
          <a:extLst>
            <a:ext uri="{FF2B5EF4-FFF2-40B4-BE49-F238E27FC236}">
              <a16:creationId xmlns:a16="http://schemas.microsoft.com/office/drawing/2014/main" xmlns="" id="{00000000-0008-0000-0200-0000D4020000}"/>
            </a:ext>
          </a:extLst>
        </xdr:cNvPr>
        <xdr:cNvCxnSpPr>
          <a:stCxn id="722" idx="0"/>
          <a:endCxn id="723" idx="1"/>
        </xdr:cNvCxnSpPr>
      </xdr:nvCxnSpPr>
      <xdr:spPr>
        <a:xfrm flipV="1">
          <a:off x="9448800" y="857250"/>
          <a:ext cx="25298400" cy="24860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571500</xdr:colOff>
      <xdr:row>69</xdr:row>
      <xdr:rowOff>15875</xdr:rowOff>
    </xdr:from>
    <xdr:to>
      <xdr:col>36</xdr:col>
      <xdr:colOff>342900</xdr:colOff>
      <xdr:row>70</xdr:row>
      <xdr:rowOff>79375</xdr:rowOff>
    </xdr:to>
    <xdr:sp macro="" textlink="">
      <xdr:nvSpPr>
        <xdr:cNvPr id="725" name="OpenSolver164">
          <a:extLst>
            <a:ext uri="{FF2B5EF4-FFF2-40B4-BE49-F238E27FC236}">
              <a16:creationId xmlns:a16="http://schemas.microsoft.com/office/drawing/2014/main" xmlns="" id="{00000000-0008-0000-0200-0000D5020000}"/>
            </a:ext>
          </a:extLst>
        </xdr:cNvPr>
        <xdr:cNvSpPr/>
      </xdr:nvSpPr>
      <xdr:spPr>
        <a:xfrm>
          <a:off x="219075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142</xdr:row>
      <xdr:rowOff>0</xdr:rowOff>
    </xdr:from>
    <xdr:to>
      <xdr:col>16</xdr:col>
      <xdr:colOff>0</xdr:colOff>
      <xdr:row>277</xdr:row>
      <xdr:rowOff>0</xdr:rowOff>
    </xdr:to>
    <xdr:sp macro="" textlink="">
      <xdr:nvSpPr>
        <xdr:cNvPr id="726" name="OpenSolver165">
          <a:extLst>
            <a:ext uri="{FF2B5EF4-FFF2-40B4-BE49-F238E27FC236}">
              <a16:creationId xmlns:a16="http://schemas.microsoft.com/office/drawing/2014/main" xmlns="" id="{00000000-0008-0000-0200-0000D6020000}"/>
            </a:ext>
          </a:extLst>
        </xdr:cNvPr>
        <xdr:cNvSpPr/>
      </xdr:nvSpPr>
      <xdr:spPr>
        <a:xfrm>
          <a:off x="91440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58</xdr:col>
      <xdr:colOff>0</xdr:colOff>
      <xdr:row>4</xdr:row>
      <xdr:rowOff>0</xdr:rowOff>
    </xdr:from>
    <xdr:to>
      <xdr:col>59</xdr:col>
      <xdr:colOff>0</xdr:colOff>
      <xdr:row>5</xdr:row>
      <xdr:rowOff>0</xdr:rowOff>
    </xdr:to>
    <xdr:sp macro="" textlink="">
      <xdr:nvSpPr>
        <xdr:cNvPr id="727" name="OpenSolver166">
          <a:extLst>
            <a:ext uri="{FF2B5EF4-FFF2-40B4-BE49-F238E27FC236}">
              <a16:creationId xmlns:a16="http://schemas.microsoft.com/office/drawing/2014/main" xmlns="" id="{00000000-0008-0000-0200-0000D7020000}"/>
            </a:ext>
          </a:extLst>
        </xdr:cNvPr>
        <xdr:cNvSpPr/>
      </xdr:nvSpPr>
      <xdr:spPr>
        <a:xfrm>
          <a:off x="3535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58</xdr:col>
      <xdr:colOff>0</xdr:colOff>
      <xdr:row>142</xdr:row>
      <xdr:rowOff>0</xdr:rowOff>
    </xdr:to>
    <xdr:cxnSp macro="">
      <xdr:nvCxnSpPr>
        <xdr:cNvPr id="728" name="OpenSolver167">
          <a:extLst>
            <a:ext uri="{FF2B5EF4-FFF2-40B4-BE49-F238E27FC236}">
              <a16:creationId xmlns:a16="http://schemas.microsoft.com/office/drawing/2014/main" xmlns="" id="{00000000-0008-0000-0200-0000D8020000}"/>
            </a:ext>
          </a:extLst>
        </xdr:cNvPr>
        <xdr:cNvCxnSpPr>
          <a:stCxn id="726" idx="0"/>
          <a:endCxn id="727" idx="1"/>
        </xdr:cNvCxnSpPr>
      </xdr:nvCxnSpPr>
      <xdr:spPr>
        <a:xfrm flipV="1">
          <a:off x="9448800" y="857250"/>
          <a:ext cx="25908000" cy="2619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266700</xdr:colOff>
      <xdr:row>72</xdr:row>
      <xdr:rowOff>111125</xdr:rowOff>
    </xdr:from>
    <xdr:to>
      <xdr:col>37</xdr:col>
      <xdr:colOff>38100</xdr:colOff>
      <xdr:row>73</xdr:row>
      <xdr:rowOff>174625</xdr:rowOff>
    </xdr:to>
    <xdr:sp macro="" textlink="">
      <xdr:nvSpPr>
        <xdr:cNvPr id="729" name="OpenSolver168">
          <a:extLst>
            <a:ext uri="{FF2B5EF4-FFF2-40B4-BE49-F238E27FC236}">
              <a16:creationId xmlns:a16="http://schemas.microsoft.com/office/drawing/2014/main" xmlns="" id="{00000000-0008-0000-0200-0000D9020000}"/>
            </a:ext>
          </a:extLst>
        </xdr:cNvPr>
        <xdr:cNvSpPr/>
      </xdr:nvSpPr>
      <xdr:spPr>
        <a:xfrm>
          <a:off x="222123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277</xdr:row>
      <xdr:rowOff>0</xdr:rowOff>
    </xdr:from>
    <xdr:to>
      <xdr:col>16</xdr:col>
      <xdr:colOff>0</xdr:colOff>
      <xdr:row>304</xdr:row>
      <xdr:rowOff>0</xdr:rowOff>
    </xdr:to>
    <xdr:sp macro="" textlink="">
      <xdr:nvSpPr>
        <xdr:cNvPr id="730" name="OpenSolver169">
          <a:extLst>
            <a:ext uri="{FF2B5EF4-FFF2-40B4-BE49-F238E27FC236}">
              <a16:creationId xmlns:a16="http://schemas.microsoft.com/office/drawing/2014/main" xmlns="" id="{00000000-0008-0000-0200-0000DA020000}"/>
            </a:ext>
          </a:extLst>
        </xdr:cNvPr>
        <xdr:cNvSpPr/>
      </xdr:nvSpPr>
      <xdr:spPr>
        <a:xfrm>
          <a:off x="91440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60</xdr:col>
      <xdr:colOff>0</xdr:colOff>
      <xdr:row>5</xdr:row>
      <xdr:rowOff>0</xdr:rowOff>
    </xdr:to>
    <xdr:sp macro="" textlink="">
      <xdr:nvSpPr>
        <xdr:cNvPr id="731" name="OpenSolver170">
          <a:extLst>
            <a:ext uri="{FF2B5EF4-FFF2-40B4-BE49-F238E27FC236}">
              <a16:creationId xmlns:a16="http://schemas.microsoft.com/office/drawing/2014/main" xmlns="" id="{00000000-0008-0000-0200-0000DB020000}"/>
            </a:ext>
          </a:extLst>
        </xdr:cNvPr>
        <xdr:cNvSpPr/>
      </xdr:nvSpPr>
      <xdr:spPr>
        <a:xfrm>
          <a:off x="3596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59</xdr:col>
      <xdr:colOff>0</xdr:colOff>
      <xdr:row>277</xdr:row>
      <xdr:rowOff>0</xdr:rowOff>
    </xdr:to>
    <xdr:cxnSp macro="">
      <xdr:nvCxnSpPr>
        <xdr:cNvPr id="732" name="OpenSolver171">
          <a:extLst>
            <a:ext uri="{FF2B5EF4-FFF2-40B4-BE49-F238E27FC236}">
              <a16:creationId xmlns:a16="http://schemas.microsoft.com/office/drawing/2014/main" xmlns="" id="{00000000-0008-0000-0200-0000DC020000}"/>
            </a:ext>
          </a:extLst>
        </xdr:cNvPr>
        <xdr:cNvCxnSpPr>
          <a:stCxn id="730" idx="0"/>
          <a:endCxn id="731" idx="1"/>
        </xdr:cNvCxnSpPr>
      </xdr:nvCxnSpPr>
      <xdr:spPr>
        <a:xfrm flipV="1">
          <a:off x="9448800" y="857250"/>
          <a:ext cx="26517600" cy="51911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571500</xdr:colOff>
      <xdr:row>140</xdr:row>
      <xdr:rowOff>15875</xdr:rowOff>
    </xdr:from>
    <xdr:to>
      <xdr:col>37</xdr:col>
      <xdr:colOff>342900</xdr:colOff>
      <xdr:row>141</xdr:row>
      <xdr:rowOff>79375</xdr:rowOff>
    </xdr:to>
    <xdr:sp macro="" textlink="">
      <xdr:nvSpPr>
        <xdr:cNvPr id="733" name="OpenSolver172">
          <a:extLst>
            <a:ext uri="{FF2B5EF4-FFF2-40B4-BE49-F238E27FC236}">
              <a16:creationId xmlns:a16="http://schemas.microsoft.com/office/drawing/2014/main" xmlns="" id="{00000000-0008-0000-0200-0000DD020000}"/>
            </a:ext>
          </a:extLst>
        </xdr:cNvPr>
        <xdr:cNvSpPr/>
      </xdr:nvSpPr>
      <xdr:spPr>
        <a:xfrm>
          <a:off x="225171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304</xdr:row>
      <xdr:rowOff>0</xdr:rowOff>
    </xdr:from>
    <xdr:to>
      <xdr:col>16</xdr:col>
      <xdr:colOff>0</xdr:colOff>
      <xdr:row>313</xdr:row>
      <xdr:rowOff>0</xdr:rowOff>
    </xdr:to>
    <xdr:sp macro="" textlink="">
      <xdr:nvSpPr>
        <xdr:cNvPr id="734" name="OpenSolver173">
          <a:extLst>
            <a:ext uri="{FF2B5EF4-FFF2-40B4-BE49-F238E27FC236}">
              <a16:creationId xmlns:a16="http://schemas.microsoft.com/office/drawing/2014/main" xmlns="" id="{00000000-0008-0000-0200-0000DE020000}"/>
            </a:ext>
          </a:extLst>
        </xdr:cNvPr>
        <xdr:cNvSpPr/>
      </xdr:nvSpPr>
      <xdr:spPr>
        <a:xfrm>
          <a:off x="91440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60</xdr:col>
      <xdr:colOff>0</xdr:colOff>
      <xdr:row>4</xdr:row>
      <xdr:rowOff>0</xdr:rowOff>
    </xdr:from>
    <xdr:to>
      <xdr:col>61</xdr:col>
      <xdr:colOff>0</xdr:colOff>
      <xdr:row>5</xdr:row>
      <xdr:rowOff>0</xdr:rowOff>
    </xdr:to>
    <xdr:sp macro="" textlink="">
      <xdr:nvSpPr>
        <xdr:cNvPr id="735" name="OpenSolver174">
          <a:extLst>
            <a:ext uri="{FF2B5EF4-FFF2-40B4-BE49-F238E27FC236}">
              <a16:creationId xmlns:a16="http://schemas.microsoft.com/office/drawing/2014/main" xmlns="" id="{00000000-0008-0000-0200-0000DF020000}"/>
            </a:ext>
          </a:extLst>
        </xdr:cNvPr>
        <xdr:cNvSpPr/>
      </xdr:nvSpPr>
      <xdr:spPr>
        <a:xfrm>
          <a:off x="3657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60</xdr:col>
      <xdr:colOff>0</xdr:colOff>
      <xdr:row>304</xdr:row>
      <xdr:rowOff>0</xdr:rowOff>
    </xdr:to>
    <xdr:cxnSp macro="">
      <xdr:nvCxnSpPr>
        <xdr:cNvPr id="736" name="OpenSolver175">
          <a:extLst>
            <a:ext uri="{FF2B5EF4-FFF2-40B4-BE49-F238E27FC236}">
              <a16:creationId xmlns:a16="http://schemas.microsoft.com/office/drawing/2014/main" xmlns="" id="{00000000-0008-0000-0200-0000E0020000}"/>
            </a:ext>
          </a:extLst>
        </xdr:cNvPr>
        <xdr:cNvCxnSpPr>
          <a:stCxn id="734" idx="0"/>
          <a:endCxn id="735" idx="1"/>
        </xdr:cNvCxnSpPr>
      </xdr:nvCxnSpPr>
      <xdr:spPr>
        <a:xfrm flipV="1">
          <a:off x="9448800" y="857250"/>
          <a:ext cx="27127200" cy="57054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266700</xdr:colOff>
      <xdr:row>153</xdr:row>
      <xdr:rowOff>111125</xdr:rowOff>
    </xdr:from>
    <xdr:to>
      <xdr:col>38</xdr:col>
      <xdr:colOff>38100</xdr:colOff>
      <xdr:row>154</xdr:row>
      <xdr:rowOff>174625</xdr:rowOff>
    </xdr:to>
    <xdr:sp macro="" textlink="">
      <xdr:nvSpPr>
        <xdr:cNvPr id="737" name="OpenSolver176">
          <a:extLst>
            <a:ext uri="{FF2B5EF4-FFF2-40B4-BE49-F238E27FC236}">
              <a16:creationId xmlns:a16="http://schemas.microsoft.com/office/drawing/2014/main" xmlns="" id="{00000000-0008-0000-0200-0000E1020000}"/>
            </a:ext>
          </a:extLst>
        </xdr:cNvPr>
        <xdr:cNvSpPr/>
      </xdr:nvSpPr>
      <xdr:spPr>
        <a:xfrm>
          <a:off x="228219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313</xdr:row>
      <xdr:rowOff>0</xdr:rowOff>
    </xdr:from>
    <xdr:to>
      <xdr:col>16</xdr:col>
      <xdr:colOff>0</xdr:colOff>
      <xdr:row>315</xdr:row>
      <xdr:rowOff>0</xdr:rowOff>
    </xdr:to>
    <xdr:sp macro="" textlink="">
      <xdr:nvSpPr>
        <xdr:cNvPr id="738" name="OpenSolver177">
          <a:extLst>
            <a:ext uri="{FF2B5EF4-FFF2-40B4-BE49-F238E27FC236}">
              <a16:creationId xmlns:a16="http://schemas.microsoft.com/office/drawing/2014/main" xmlns="" id="{00000000-0008-0000-0200-0000E2020000}"/>
            </a:ext>
          </a:extLst>
        </xdr:cNvPr>
        <xdr:cNvSpPr/>
      </xdr:nvSpPr>
      <xdr:spPr>
        <a:xfrm>
          <a:off x="91440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61</xdr:col>
      <xdr:colOff>0</xdr:colOff>
      <xdr:row>4</xdr:row>
      <xdr:rowOff>0</xdr:rowOff>
    </xdr:from>
    <xdr:to>
      <xdr:col>62</xdr:col>
      <xdr:colOff>0</xdr:colOff>
      <xdr:row>5</xdr:row>
      <xdr:rowOff>0</xdr:rowOff>
    </xdr:to>
    <xdr:sp macro="" textlink="">
      <xdr:nvSpPr>
        <xdr:cNvPr id="739" name="OpenSolver178">
          <a:extLst>
            <a:ext uri="{FF2B5EF4-FFF2-40B4-BE49-F238E27FC236}">
              <a16:creationId xmlns:a16="http://schemas.microsoft.com/office/drawing/2014/main" xmlns="" id="{00000000-0008-0000-0200-0000E3020000}"/>
            </a:ext>
          </a:extLst>
        </xdr:cNvPr>
        <xdr:cNvSpPr/>
      </xdr:nvSpPr>
      <xdr:spPr>
        <a:xfrm>
          <a:off x="3718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61</xdr:col>
      <xdr:colOff>0</xdr:colOff>
      <xdr:row>313</xdr:row>
      <xdr:rowOff>0</xdr:rowOff>
    </xdr:to>
    <xdr:cxnSp macro="">
      <xdr:nvCxnSpPr>
        <xdr:cNvPr id="740" name="OpenSolver179">
          <a:extLst>
            <a:ext uri="{FF2B5EF4-FFF2-40B4-BE49-F238E27FC236}">
              <a16:creationId xmlns:a16="http://schemas.microsoft.com/office/drawing/2014/main" xmlns="" id="{00000000-0008-0000-0200-0000E4020000}"/>
            </a:ext>
          </a:extLst>
        </xdr:cNvPr>
        <xdr:cNvCxnSpPr>
          <a:stCxn id="738" idx="0"/>
          <a:endCxn id="739" idx="1"/>
        </xdr:cNvCxnSpPr>
      </xdr:nvCxnSpPr>
      <xdr:spPr>
        <a:xfrm flipV="1">
          <a:off x="9448800" y="857250"/>
          <a:ext cx="27736800" cy="58769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571500</xdr:colOff>
      <xdr:row>158</xdr:row>
      <xdr:rowOff>15875</xdr:rowOff>
    </xdr:from>
    <xdr:to>
      <xdr:col>38</xdr:col>
      <xdr:colOff>342900</xdr:colOff>
      <xdr:row>159</xdr:row>
      <xdr:rowOff>79375</xdr:rowOff>
    </xdr:to>
    <xdr:sp macro="" textlink="">
      <xdr:nvSpPr>
        <xdr:cNvPr id="741" name="OpenSolver180">
          <a:extLst>
            <a:ext uri="{FF2B5EF4-FFF2-40B4-BE49-F238E27FC236}">
              <a16:creationId xmlns:a16="http://schemas.microsoft.com/office/drawing/2014/main" xmlns="" id="{00000000-0008-0000-0200-0000E5020000}"/>
            </a:ext>
          </a:extLst>
        </xdr:cNvPr>
        <xdr:cNvSpPr/>
      </xdr:nvSpPr>
      <xdr:spPr>
        <a:xfrm>
          <a:off x="231267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0</xdr:colOff>
      <xdr:row>315</xdr:row>
      <xdr:rowOff>0</xdr:rowOff>
    </xdr:from>
    <xdr:to>
      <xdr:col>16</xdr:col>
      <xdr:colOff>0</xdr:colOff>
      <xdr:row>317</xdr:row>
      <xdr:rowOff>0</xdr:rowOff>
    </xdr:to>
    <xdr:sp macro="" textlink="">
      <xdr:nvSpPr>
        <xdr:cNvPr id="742" name="OpenSolver181">
          <a:extLst>
            <a:ext uri="{FF2B5EF4-FFF2-40B4-BE49-F238E27FC236}">
              <a16:creationId xmlns:a16="http://schemas.microsoft.com/office/drawing/2014/main" xmlns="" id="{00000000-0008-0000-0200-0000E6020000}"/>
            </a:ext>
          </a:extLst>
        </xdr:cNvPr>
        <xdr:cNvSpPr/>
      </xdr:nvSpPr>
      <xdr:spPr>
        <a:xfrm>
          <a:off x="91440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62</xdr:col>
      <xdr:colOff>0</xdr:colOff>
      <xdr:row>4</xdr:row>
      <xdr:rowOff>0</xdr:rowOff>
    </xdr:from>
    <xdr:to>
      <xdr:col>63</xdr:col>
      <xdr:colOff>0</xdr:colOff>
      <xdr:row>5</xdr:row>
      <xdr:rowOff>0</xdr:rowOff>
    </xdr:to>
    <xdr:sp macro="" textlink="">
      <xdr:nvSpPr>
        <xdr:cNvPr id="743" name="OpenSolver182">
          <a:extLst>
            <a:ext uri="{FF2B5EF4-FFF2-40B4-BE49-F238E27FC236}">
              <a16:creationId xmlns:a16="http://schemas.microsoft.com/office/drawing/2014/main" xmlns="" id="{00000000-0008-0000-0200-0000E7020000}"/>
            </a:ext>
          </a:extLst>
        </xdr:cNvPr>
        <xdr:cNvSpPr/>
      </xdr:nvSpPr>
      <xdr:spPr>
        <a:xfrm>
          <a:off x="3779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15</xdr:col>
      <xdr:colOff>304800</xdr:colOff>
      <xdr:row>4</xdr:row>
      <xdr:rowOff>95250</xdr:rowOff>
    </xdr:from>
    <xdr:to>
      <xdr:col>62</xdr:col>
      <xdr:colOff>0</xdr:colOff>
      <xdr:row>315</xdr:row>
      <xdr:rowOff>0</xdr:rowOff>
    </xdr:to>
    <xdr:cxnSp macro="">
      <xdr:nvCxnSpPr>
        <xdr:cNvPr id="744" name="OpenSolver183">
          <a:extLst>
            <a:ext uri="{FF2B5EF4-FFF2-40B4-BE49-F238E27FC236}">
              <a16:creationId xmlns:a16="http://schemas.microsoft.com/office/drawing/2014/main" xmlns="" id="{00000000-0008-0000-0200-0000E8020000}"/>
            </a:ext>
          </a:extLst>
        </xdr:cNvPr>
        <xdr:cNvCxnSpPr>
          <a:stCxn id="742" idx="0"/>
          <a:endCxn id="743" idx="1"/>
        </xdr:cNvCxnSpPr>
      </xdr:nvCxnSpPr>
      <xdr:spPr>
        <a:xfrm flipV="1">
          <a:off x="9448800" y="857250"/>
          <a:ext cx="28346400" cy="59150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266700</xdr:colOff>
      <xdr:row>159</xdr:row>
      <xdr:rowOff>15875</xdr:rowOff>
    </xdr:from>
    <xdr:to>
      <xdr:col>39</xdr:col>
      <xdr:colOff>38100</xdr:colOff>
      <xdr:row>160</xdr:row>
      <xdr:rowOff>79375</xdr:rowOff>
    </xdr:to>
    <xdr:sp macro="" textlink="">
      <xdr:nvSpPr>
        <xdr:cNvPr id="745" name="OpenSolver184">
          <a:extLst>
            <a:ext uri="{FF2B5EF4-FFF2-40B4-BE49-F238E27FC236}">
              <a16:creationId xmlns:a16="http://schemas.microsoft.com/office/drawing/2014/main" xmlns="" id="{00000000-0008-0000-0200-0000E9020000}"/>
            </a:ext>
          </a:extLst>
        </xdr:cNvPr>
        <xdr:cNvSpPr/>
      </xdr:nvSpPr>
      <xdr:spPr>
        <a:xfrm>
          <a:off x="234315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18</xdr:row>
      <xdr:rowOff>0</xdr:rowOff>
    </xdr:from>
    <xdr:to>
      <xdr:col>17</xdr:col>
      <xdr:colOff>0</xdr:colOff>
      <xdr:row>102</xdr:row>
      <xdr:rowOff>0</xdr:rowOff>
    </xdr:to>
    <xdr:sp macro="" textlink="">
      <xdr:nvSpPr>
        <xdr:cNvPr id="746" name="OpenSolver185">
          <a:extLst>
            <a:ext uri="{FF2B5EF4-FFF2-40B4-BE49-F238E27FC236}">
              <a16:creationId xmlns:a16="http://schemas.microsoft.com/office/drawing/2014/main" xmlns="" id="{00000000-0008-0000-0200-0000EA020000}"/>
            </a:ext>
          </a:extLst>
        </xdr:cNvPr>
        <xdr:cNvSpPr/>
      </xdr:nvSpPr>
      <xdr:spPr>
        <a:xfrm>
          <a:off x="9753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63</xdr:col>
      <xdr:colOff>0</xdr:colOff>
      <xdr:row>4</xdr:row>
      <xdr:rowOff>0</xdr:rowOff>
    </xdr:from>
    <xdr:to>
      <xdr:col>64</xdr:col>
      <xdr:colOff>0</xdr:colOff>
      <xdr:row>5</xdr:row>
      <xdr:rowOff>0</xdr:rowOff>
    </xdr:to>
    <xdr:sp macro="" textlink="">
      <xdr:nvSpPr>
        <xdr:cNvPr id="747" name="OpenSolver186">
          <a:extLst>
            <a:ext uri="{FF2B5EF4-FFF2-40B4-BE49-F238E27FC236}">
              <a16:creationId xmlns:a16="http://schemas.microsoft.com/office/drawing/2014/main" xmlns="" id="{00000000-0008-0000-0200-0000EB020000}"/>
            </a:ext>
          </a:extLst>
        </xdr:cNvPr>
        <xdr:cNvSpPr/>
      </xdr:nvSpPr>
      <xdr:spPr>
        <a:xfrm>
          <a:off x="3840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63</xdr:col>
      <xdr:colOff>0</xdr:colOff>
      <xdr:row>18</xdr:row>
      <xdr:rowOff>0</xdr:rowOff>
    </xdr:to>
    <xdr:cxnSp macro="">
      <xdr:nvCxnSpPr>
        <xdr:cNvPr id="748" name="OpenSolver187">
          <a:extLst>
            <a:ext uri="{FF2B5EF4-FFF2-40B4-BE49-F238E27FC236}">
              <a16:creationId xmlns:a16="http://schemas.microsoft.com/office/drawing/2014/main" xmlns="" id="{00000000-0008-0000-0200-0000EC020000}"/>
            </a:ext>
          </a:extLst>
        </xdr:cNvPr>
        <xdr:cNvCxnSpPr>
          <a:stCxn id="746" idx="0"/>
          <a:endCxn id="747" idx="1"/>
        </xdr:cNvCxnSpPr>
      </xdr:nvCxnSpPr>
      <xdr:spPr>
        <a:xfrm flipV="1">
          <a:off x="10058400" y="857250"/>
          <a:ext cx="28346400" cy="2571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266700</xdr:colOff>
      <xdr:row>10</xdr:row>
      <xdr:rowOff>111125</xdr:rowOff>
    </xdr:from>
    <xdr:to>
      <xdr:col>40</xdr:col>
      <xdr:colOff>38100</xdr:colOff>
      <xdr:row>11</xdr:row>
      <xdr:rowOff>174625</xdr:rowOff>
    </xdr:to>
    <xdr:sp macro="" textlink="">
      <xdr:nvSpPr>
        <xdr:cNvPr id="749" name="OpenSolver188">
          <a:extLst>
            <a:ext uri="{FF2B5EF4-FFF2-40B4-BE49-F238E27FC236}">
              <a16:creationId xmlns:a16="http://schemas.microsoft.com/office/drawing/2014/main" xmlns="" id="{00000000-0008-0000-0200-0000ED020000}"/>
            </a:ext>
          </a:extLst>
        </xdr:cNvPr>
        <xdr:cNvSpPr/>
      </xdr:nvSpPr>
      <xdr:spPr>
        <a:xfrm>
          <a:off x="240411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102</xdr:row>
      <xdr:rowOff>0</xdr:rowOff>
    </xdr:from>
    <xdr:to>
      <xdr:col>17</xdr:col>
      <xdr:colOff>0</xdr:colOff>
      <xdr:row>127</xdr:row>
      <xdr:rowOff>0</xdr:rowOff>
    </xdr:to>
    <xdr:sp macro="" textlink="">
      <xdr:nvSpPr>
        <xdr:cNvPr id="750" name="OpenSolver189">
          <a:extLst>
            <a:ext uri="{FF2B5EF4-FFF2-40B4-BE49-F238E27FC236}">
              <a16:creationId xmlns:a16="http://schemas.microsoft.com/office/drawing/2014/main" xmlns="" id="{00000000-0008-0000-0200-0000EE020000}"/>
            </a:ext>
          </a:extLst>
        </xdr:cNvPr>
        <xdr:cNvSpPr/>
      </xdr:nvSpPr>
      <xdr:spPr>
        <a:xfrm>
          <a:off x="9753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64</xdr:col>
      <xdr:colOff>0</xdr:colOff>
      <xdr:row>4</xdr:row>
      <xdr:rowOff>0</xdr:rowOff>
    </xdr:from>
    <xdr:to>
      <xdr:col>65</xdr:col>
      <xdr:colOff>0</xdr:colOff>
      <xdr:row>5</xdr:row>
      <xdr:rowOff>0</xdr:rowOff>
    </xdr:to>
    <xdr:sp macro="" textlink="">
      <xdr:nvSpPr>
        <xdr:cNvPr id="751" name="OpenSolver190">
          <a:extLst>
            <a:ext uri="{FF2B5EF4-FFF2-40B4-BE49-F238E27FC236}">
              <a16:creationId xmlns:a16="http://schemas.microsoft.com/office/drawing/2014/main" xmlns="" id="{00000000-0008-0000-0200-0000EF020000}"/>
            </a:ext>
          </a:extLst>
        </xdr:cNvPr>
        <xdr:cNvSpPr/>
      </xdr:nvSpPr>
      <xdr:spPr>
        <a:xfrm>
          <a:off x="3901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64</xdr:col>
      <xdr:colOff>0</xdr:colOff>
      <xdr:row>102</xdr:row>
      <xdr:rowOff>0</xdr:rowOff>
    </xdr:to>
    <xdr:cxnSp macro="">
      <xdr:nvCxnSpPr>
        <xdr:cNvPr id="752" name="OpenSolver191">
          <a:extLst>
            <a:ext uri="{FF2B5EF4-FFF2-40B4-BE49-F238E27FC236}">
              <a16:creationId xmlns:a16="http://schemas.microsoft.com/office/drawing/2014/main" xmlns="" id="{00000000-0008-0000-0200-0000F0020000}"/>
            </a:ext>
          </a:extLst>
        </xdr:cNvPr>
        <xdr:cNvCxnSpPr>
          <a:stCxn id="750" idx="0"/>
          <a:endCxn id="751" idx="1"/>
        </xdr:cNvCxnSpPr>
      </xdr:nvCxnSpPr>
      <xdr:spPr>
        <a:xfrm flipV="1">
          <a:off x="10058400" y="857250"/>
          <a:ext cx="28956000" cy="1857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571500</xdr:colOff>
      <xdr:row>52</xdr:row>
      <xdr:rowOff>111125</xdr:rowOff>
    </xdr:from>
    <xdr:to>
      <xdr:col>40</xdr:col>
      <xdr:colOff>342900</xdr:colOff>
      <xdr:row>53</xdr:row>
      <xdr:rowOff>174625</xdr:rowOff>
    </xdr:to>
    <xdr:sp macro="" textlink="">
      <xdr:nvSpPr>
        <xdr:cNvPr id="753" name="OpenSolver192">
          <a:extLst>
            <a:ext uri="{FF2B5EF4-FFF2-40B4-BE49-F238E27FC236}">
              <a16:creationId xmlns:a16="http://schemas.microsoft.com/office/drawing/2014/main" xmlns="" id="{00000000-0008-0000-0200-0000F1020000}"/>
            </a:ext>
          </a:extLst>
        </xdr:cNvPr>
        <xdr:cNvSpPr/>
      </xdr:nvSpPr>
      <xdr:spPr>
        <a:xfrm>
          <a:off x="243459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127</xdr:row>
      <xdr:rowOff>0</xdr:rowOff>
    </xdr:from>
    <xdr:to>
      <xdr:col>17</xdr:col>
      <xdr:colOff>0</xdr:colOff>
      <xdr:row>135</xdr:row>
      <xdr:rowOff>0</xdr:rowOff>
    </xdr:to>
    <xdr:sp macro="" textlink="">
      <xdr:nvSpPr>
        <xdr:cNvPr id="754" name="OpenSolver193">
          <a:extLst>
            <a:ext uri="{FF2B5EF4-FFF2-40B4-BE49-F238E27FC236}">
              <a16:creationId xmlns:a16="http://schemas.microsoft.com/office/drawing/2014/main" xmlns="" id="{00000000-0008-0000-0200-0000F2020000}"/>
            </a:ext>
          </a:extLst>
        </xdr:cNvPr>
        <xdr:cNvSpPr/>
      </xdr:nvSpPr>
      <xdr:spPr>
        <a:xfrm>
          <a:off x="9753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65</xdr:col>
      <xdr:colOff>0</xdr:colOff>
      <xdr:row>4</xdr:row>
      <xdr:rowOff>0</xdr:rowOff>
    </xdr:from>
    <xdr:to>
      <xdr:col>66</xdr:col>
      <xdr:colOff>0</xdr:colOff>
      <xdr:row>5</xdr:row>
      <xdr:rowOff>0</xdr:rowOff>
    </xdr:to>
    <xdr:sp macro="" textlink="">
      <xdr:nvSpPr>
        <xdr:cNvPr id="755" name="OpenSolver194">
          <a:extLst>
            <a:ext uri="{FF2B5EF4-FFF2-40B4-BE49-F238E27FC236}">
              <a16:creationId xmlns:a16="http://schemas.microsoft.com/office/drawing/2014/main" xmlns="" id="{00000000-0008-0000-0200-0000F3020000}"/>
            </a:ext>
          </a:extLst>
        </xdr:cNvPr>
        <xdr:cNvSpPr/>
      </xdr:nvSpPr>
      <xdr:spPr>
        <a:xfrm>
          <a:off x="3962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65</xdr:col>
      <xdr:colOff>0</xdr:colOff>
      <xdr:row>127</xdr:row>
      <xdr:rowOff>0</xdr:rowOff>
    </xdr:to>
    <xdr:cxnSp macro="">
      <xdr:nvCxnSpPr>
        <xdr:cNvPr id="756" name="OpenSolver195">
          <a:extLst>
            <a:ext uri="{FF2B5EF4-FFF2-40B4-BE49-F238E27FC236}">
              <a16:creationId xmlns:a16="http://schemas.microsoft.com/office/drawing/2014/main" xmlns="" id="{00000000-0008-0000-0200-0000F4020000}"/>
            </a:ext>
          </a:extLst>
        </xdr:cNvPr>
        <xdr:cNvCxnSpPr>
          <a:stCxn id="754" idx="0"/>
          <a:endCxn id="755" idx="1"/>
        </xdr:cNvCxnSpPr>
      </xdr:nvCxnSpPr>
      <xdr:spPr>
        <a:xfrm flipV="1">
          <a:off x="10058400" y="857250"/>
          <a:ext cx="29565600" cy="23336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266700</xdr:colOff>
      <xdr:row>65</xdr:row>
      <xdr:rowOff>15875</xdr:rowOff>
    </xdr:from>
    <xdr:to>
      <xdr:col>41</xdr:col>
      <xdr:colOff>38100</xdr:colOff>
      <xdr:row>66</xdr:row>
      <xdr:rowOff>79375</xdr:rowOff>
    </xdr:to>
    <xdr:sp macro="" textlink="">
      <xdr:nvSpPr>
        <xdr:cNvPr id="757" name="OpenSolver196">
          <a:extLst>
            <a:ext uri="{FF2B5EF4-FFF2-40B4-BE49-F238E27FC236}">
              <a16:creationId xmlns:a16="http://schemas.microsoft.com/office/drawing/2014/main" xmlns="" id="{00000000-0008-0000-0200-0000F5020000}"/>
            </a:ext>
          </a:extLst>
        </xdr:cNvPr>
        <xdr:cNvSpPr/>
      </xdr:nvSpPr>
      <xdr:spPr>
        <a:xfrm>
          <a:off x="246507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135</xdr:row>
      <xdr:rowOff>0</xdr:rowOff>
    </xdr:from>
    <xdr:to>
      <xdr:col>17</xdr:col>
      <xdr:colOff>0</xdr:colOff>
      <xdr:row>142</xdr:row>
      <xdr:rowOff>0</xdr:rowOff>
    </xdr:to>
    <xdr:sp macro="" textlink="">
      <xdr:nvSpPr>
        <xdr:cNvPr id="758" name="OpenSolver197">
          <a:extLst>
            <a:ext uri="{FF2B5EF4-FFF2-40B4-BE49-F238E27FC236}">
              <a16:creationId xmlns:a16="http://schemas.microsoft.com/office/drawing/2014/main" xmlns="" id="{00000000-0008-0000-0200-0000F6020000}"/>
            </a:ext>
          </a:extLst>
        </xdr:cNvPr>
        <xdr:cNvSpPr/>
      </xdr:nvSpPr>
      <xdr:spPr>
        <a:xfrm>
          <a:off x="9753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66</xdr:col>
      <xdr:colOff>0</xdr:colOff>
      <xdr:row>4</xdr:row>
      <xdr:rowOff>0</xdr:rowOff>
    </xdr:from>
    <xdr:to>
      <xdr:col>67</xdr:col>
      <xdr:colOff>0</xdr:colOff>
      <xdr:row>5</xdr:row>
      <xdr:rowOff>0</xdr:rowOff>
    </xdr:to>
    <xdr:sp macro="" textlink="">
      <xdr:nvSpPr>
        <xdr:cNvPr id="759" name="OpenSolver198">
          <a:extLst>
            <a:ext uri="{FF2B5EF4-FFF2-40B4-BE49-F238E27FC236}">
              <a16:creationId xmlns:a16="http://schemas.microsoft.com/office/drawing/2014/main" xmlns="" id="{00000000-0008-0000-0200-0000F7020000}"/>
            </a:ext>
          </a:extLst>
        </xdr:cNvPr>
        <xdr:cNvSpPr/>
      </xdr:nvSpPr>
      <xdr:spPr>
        <a:xfrm>
          <a:off x="4023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66</xdr:col>
      <xdr:colOff>0</xdr:colOff>
      <xdr:row>135</xdr:row>
      <xdr:rowOff>0</xdr:rowOff>
    </xdr:to>
    <xdr:cxnSp macro="">
      <xdr:nvCxnSpPr>
        <xdr:cNvPr id="760" name="OpenSolver199">
          <a:extLst>
            <a:ext uri="{FF2B5EF4-FFF2-40B4-BE49-F238E27FC236}">
              <a16:creationId xmlns:a16="http://schemas.microsoft.com/office/drawing/2014/main" xmlns="" id="{00000000-0008-0000-0200-0000F8020000}"/>
            </a:ext>
          </a:extLst>
        </xdr:cNvPr>
        <xdr:cNvCxnSpPr>
          <a:stCxn id="758" idx="0"/>
          <a:endCxn id="759" idx="1"/>
        </xdr:cNvCxnSpPr>
      </xdr:nvCxnSpPr>
      <xdr:spPr>
        <a:xfrm flipV="1">
          <a:off x="10058400" y="857250"/>
          <a:ext cx="30175200" cy="24860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571500</xdr:colOff>
      <xdr:row>69</xdr:row>
      <xdr:rowOff>15875</xdr:rowOff>
    </xdr:from>
    <xdr:to>
      <xdr:col>41</xdr:col>
      <xdr:colOff>342900</xdr:colOff>
      <xdr:row>70</xdr:row>
      <xdr:rowOff>79375</xdr:rowOff>
    </xdr:to>
    <xdr:sp macro="" textlink="">
      <xdr:nvSpPr>
        <xdr:cNvPr id="761" name="OpenSolver200">
          <a:extLst>
            <a:ext uri="{FF2B5EF4-FFF2-40B4-BE49-F238E27FC236}">
              <a16:creationId xmlns:a16="http://schemas.microsoft.com/office/drawing/2014/main" xmlns="" id="{00000000-0008-0000-0200-0000F9020000}"/>
            </a:ext>
          </a:extLst>
        </xdr:cNvPr>
        <xdr:cNvSpPr/>
      </xdr:nvSpPr>
      <xdr:spPr>
        <a:xfrm>
          <a:off x="249555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142</xdr:row>
      <xdr:rowOff>0</xdr:rowOff>
    </xdr:from>
    <xdr:to>
      <xdr:col>17</xdr:col>
      <xdr:colOff>0</xdr:colOff>
      <xdr:row>277</xdr:row>
      <xdr:rowOff>0</xdr:rowOff>
    </xdr:to>
    <xdr:sp macro="" textlink="">
      <xdr:nvSpPr>
        <xdr:cNvPr id="762" name="OpenSolver201">
          <a:extLst>
            <a:ext uri="{FF2B5EF4-FFF2-40B4-BE49-F238E27FC236}">
              <a16:creationId xmlns:a16="http://schemas.microsoft.com/office/drawing/2014/main" xmlns="" id="{00000000-0008-0000-0200-0000FA020000}"/>
            </a:ext>
          </a:extLst>
        </xdr:cNvPr>
        <xdr:cNvSpPr/>
      </xdr:nvSpPr>
      <xdr:spPr>
        <a:xfrm>
          <a:off x="9753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67</xdr:col>
      <xdr:colOff>0</xdr:colOff>
      <xdr:row>4</xdr:row>
      <xdr:rowOff>0</xdr:rowOff>
    </xdr:from>
    <xdr:to>
      <xdr:col>68</xdr:col>
      <xdr:colOff>0</xdr:colOff>
      <xdr:row>5</xdr:row>
      <xdr:rowOff>0</xdr:rowOff>
    </xdr:to>
    <xdr:sp macro="" textlink="">
      <xdr:nvSpPr>
        <xdr:cNvPr id="763" name="OpenSolver202">
          <a:extLst>
            <a:ext uri="{FF2B5EF4-FFF2-40B4-BE49-F238E27FC236}">
              <a16:creationId xmlns:a16="http://schemas.microsoft.com/office/drawing/2014/main" xmlns="" id="{00000000-0008-0000-0200-0000FB020000}"/>
            </a:ext>
          </a:extLst>
        </xdr:cNvPr>
        <xdr:cNvSpPr/>
      </xdr:nvSpPr>
      <xdr:spPr>
        <a:xfrm>
          <a:off x="4084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67</xdr:col>
      <xdr:colOff>0</xdr:colOff>
      <xdr:row>142</xdr:row>
      <xdr:rowOff>0</xdr:rowOff>
    </xdr:to>
    <xdr:cxnSp macro="">
      <xdr:nvCxnSpPr>
        <xdr:cNvPr id="764" name="OpenSolver203">
          <a:extLst>
            <a:ext uri="{FF2B5EF4-FFF2-40B4-BE49-F238E27FC236}">
              <a16:creationId xmlns:a16="http://schemas.microsoft.com/office/drawing/2014/main" xmlns="" id="{00000000-0008-0000-0200-0000FC020000}"/>
            </a:ext>
          </a:extLst>
        </xdr:cNvPr>
        <xdr:cNvCxnSpPr>
          <a:stCxn id="762" idx="0"/>
          <a:endCxn id="763" idx="1"/>
        </xdr:cNvCxnSpPr>
      </xdr:nvCxnSpPr>
      <xdr:spPr>
        <a:xfrm flipV="1">
          <a:off x="10058400" y="857250"/>
          <a:ext cx="30784800" cy="2619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266700</xdr:colOff>
      <xdr:row>72</xdr:row>
      <xdr:rowOff>111125</xdr:rowOff>
    </xdr:from>
    <xdr:to>
      <xdr:col>42</xdr:col>
      <xdr:colOff>38100</xdr:colOff>
      <xdr:row>73</xdr:row>
      <xdr:rowOff>174625</xdr:rowOff>
    </xdr:to>
    <xdr:sp macro="" textlink="">
      <xdr:nvSpPr>
        <xdr:cNvPr id="765" name="OpenSolver204">
          <a:extLst>
            <a:ext uri="{FF2B5EF4-FFF2-40B4-BE49-F238E27FC236}">
              <a16:creationId xmlns:a16="http://schemas.microsoft.com/office/drawing/2014/main" xmlns="" id="{00000000-0008-0000-0200-0000FD020000}"/>
            </a:ext>
          </a:extLst>
        </xdr:cNvPr>
        <xdr:cNvSpPr/>
      </xdr:nvSpPr>
      <xdr:spPr>
        <a:xfrm>
          <a:off x="252603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277</xdr:row>
      <xdr:rowOff>0</xdr:rowOff>
    </xdr:from>
    <xdr:to>
      <xdr:col>17</xdr:col>
      <xdr:colOff>0</xdr:colOff>
      <xdr:row>304</xdr:row>
      <xdr:rowOff>0</xdr:rowOff>
    </xdr:to>
    <xdr:sp macro="" textlink="">
      <xdr:nvSpPr>
        <xdr:cNvPr id="766" name="OpenSolver205">
          <a:extLst>
            <a:ext uri="{FF2B5EF4-FFF2-40B4-BE49-F238E27FC236}">
              <a16:creationId xmlns:a16="http://schemas.microsoft.com/office/drawing/2014/main" xmlns="" id="{00000000-0008-0000-0200-0000FE020000}"/>
            </a:ext>
          </a:extLst>
        </xdr:cNvPr>
        <xdr:cNvSpPr/>
      </xdr:nvSpPr>
      <xdr:spPr>
        <a:xfrm>
          <a:off x="9753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68</xdr:col>
      <xdr:colOff>0</xdr:colOff>
      <xdr:row>4</xdr:row>
      <xdr:rowOff>0</xdr:rowOff>
    </xdr:from>
    <xdr:to>
      <xdr:col>69</xdr:col>
      <xdr:colOff>0</xdr:colOff>
      <xdr:row>5</xdr:row>
      <xdr:rowOff>0</xdr:rowOff>
    </xdr:to>
    <xdr:sp macro="" textlink="">
      <xdr:nvSpPr>
        <xdr:cNvPr id="767" name="OpenSolver206">
          <a:extLst>
            <a:ext uri="{FF2B5EF4-FFF2-40B4-BE49-F238E27FC236}">
              <a16:creationId xmlns:a16="http://schemas.microsoft.com/office/drawing/2014/main" xmlns="" id="{00000000-0008-0000-0200-0000FF020000}"/>
            </a:ext>
          </a:extLst>
        </xdr:cNvPr>
        <xdr:cNvSpPr/>
      </xdr:nvSpPr>
      <xdr:spPr>
        <a:xfrm>
          <a:off x="4145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68</xdr:col>
      <xdr:colOff>0</xdr:colOff>
      <xdr:row>277</xdr:row>
      <xdr:rowOff>0</xdr:rowOff>
    </xdr:to>
    <xdr:cxnSp macro="">
      <xdr:nvCxnSpPr>
        <xdr:cNvPr id="768" name="OpenSolver207">
          <a:extLst>
            <a:ext uri="{FF2B5EF4-FFF2-40B4-BE49-F238E27FC236}">
              <a16:creationId xmlns:a16="http://schemas.microsoft.com/office/drawing/2014/main" xmlns="" id="{00000000-0008-0000-0200-000000030000}"/>
            </a:ext>
          </a:extLst>
        </xdr:cNvPr>
        <xdr:cNvCxnSpPr>
          <a:stCxn id="766" idx="0"/>
          <a:endCxn id="767" idx="1"/>
        </xdr:cNvCxnSpPr>
      </xdr:nvCxnSpPr>
      <xdr:spPr>
        <a:xfrm flipV="1">
          <a:off x="10058400" y="857250"/>
          <a:ext cx="31394400" cy="51911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571500</xdr:colOff>
      <xdr:row>140</xdr:row>
      <xdr:rowOff>15875</xdr:rowOff>
    </xdr:from>
    <xdr:to>
      <xdr:col>42</xdr:col>
      <xdr:colOff>342900</xdr:colOff>
      <xdr:row>141</xdr:row>
      <xdr:rowOff>79375</xdr:rowOff>
    </xdr:to>
    <xdr:sp macro="" textlink="">
      <xdr:nvSpPr>
        <xdr:cNvPr id="769" name="OpenSolver208">
          <a:extLst>
            <a:ext uri="{FF2B5EF4-FFF2-40B4-BE49-F238E27FC236}">
              <a16:creationId xmlns:a16="http://schemas.microsoft.com/office/drawing/2014/main" xmlns="" id="{00000000-0008-0000-0200-000001030000}"/>
            </a:ext>
          </a:extLst>
        </xdr:cNvPr>
        <xdr:cNvSpPr/>
      </xdr:nvSpPr>
      <xdr:spPr>
        <a:xfrm>
          <a:off x="255651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304</xdr:row>
      <xdr:rowOff>0</xdr:rowOff>
    </xdr:from>
    <xdr:to>
      <xdr:col>17</xdr:col>
      <xdr:colOff>0</xdr:colOff>
      <xdr:row>313</xdr:row>
      <xdr:rowOff>0</xdr:rowOff>
    </xdr:to>
    <xdr:sp macro="" textlink="">
      <xdr:nvSpPr>
        <xdr:cNvPr id="770" name="OpenSolver209">
          <a:extLst>
            <a:ext uri="{FF2B5EF4-FFF2-40B4-BE49-F238E27FC236}">
              <a16:creationId xmlns:a16="http://schemas.microsoft.com/office/drawing/2014/main" xmlns="" id="{00000000-0008-0000-0200-000002030000}"/>
            </a:ext>
          </a:extLst>
        </xdr:cNvPr>
        <xdr:cNvSpPr/>
      </xdr:nvSpPr>
      <xdr:spPr>
        <a:xfrm>
          <a:off x="9753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69</xdr:col>
      <xdr:colOff>0</xdr:colOff>
      <xdr:row>4</xdr:row>
      <xdr:rowOff>0</xdr:rowOff>
    </xdr:from>
    <xdr:to>
      <xdr:col>70</xdr:col>
      <xdr:colOff>0</xdr:colOff>
      <xdr:row>5</xdr:row>
      <xdr:rowOff>0</xdr:rowOff>
    </xdr:to>
    <xdr:sp macro="" textlink="">
      <xdr:nvSpPr>
        <xdr:cNvPr id="771" name="OpenSolver210">
          <a:extLst>
            <a:ext uri="{FF2B5EF4-FFF2-40B4-BE49-F238E27FC236}">
              <a16:creationId xmlns:a16="http://schemas.microsoft.com/office/drawing/2014/main" xmlns="" id="{00000000-0008-0000-0200-000003030000}"/>
            </a:ext>
          </a:extLst>
        </xdr:cNvPr>
        <xdr:cNvSpPr/>
      </xdr:nvSpPr>
      <xdr:spPr>
        <a:xfrm>
          <a:off x="4206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69</xdr:col>
      <xdr:colOff>0</xdr:colOff>
      <xdr:row>304</xdr:row>
      <xdr:rowOff>0</xdr:rowOff>
    </xdr:to>
    <xdr:cxnSp macro="">
      <xdr:nvCxnSpPr>
        <xdr:cNvPr id="772" name="OpenSolver211">
          <a:extLst>
            <a:ext uri="{FF2B5EF4-FFF2-40B4-BE49-F238E27FC236}">
              <a16:creationId xmlns:a16="http://schemas.microsoft.com/office/drawing/2014/main" xmlns="" id="{00000000-0008-0000-0200-000004030000}"/>
            </a:ext>
          </a:extLst>
        </xdr:cNvPr>
        <xdr:cNvCxnSpPr>
          <a:stCxn id="770" idx="0"/>
          <a:endCxn id="771" idx="1"/>
        </xdr:cNvCxnSpPr>
      </xdr:nvCxnSpPr>
      <xdr:spPr>
        <a:xfrm flipV="1">
          <a:off x="10058400" y="857250"/>
          <a:ext cx="32004000" cy="57054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266700</xdr:colOff>
      <xdr:row>153</xdr:row>
      <xdr:rowOff>111125</xdr:rowOff>
    </xdr:from>
    <xdr:to>
      <xdr:col>43</xdr:col>
      <xdr:colOff>38100</xdr:colOff>
      <xdr:row>154</xdr:row>
      <xdr:rowOff>174625</xdr:rowOff>
    </xdr:to>
    <xdr:sp macro="" textlink="">
      <xdr:nvSpPr>
        <xdr:cNvPr id="773" name="OpenSolver212">
          <a:extLst>
            <a:ext uri="{FF2B5EF4-FFF2-40B4-BE49-F238E27FC236}">
              <a16:creationId xmlns:a16="http://schemas.microsoft.com/office/drawing/2014/main" xmlns="" id="{00000000-0008-0000-0200-000005030000}"/>
            </a:ext>
          </a:extLst>
        </xdr:cNvPr>
        <xdr:cNvSpPr/>
      </xdr:nvSpPr>
      <xdr:spPr>
        <a:xfrm>
          <a:off x="258699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313</xdr:row>
      <xdr:rowOff>0</xdr:rowOff>
    </xdr:from>
    <xdr:to>
      <xdr:col>17</xdr:col>
      <xdr:colOff>0</xdr:colOff>
      <xdr:row>315</xdr:row>
      <xdr:rowOff>0</xdr:rowOff>
    </xdr:to>
    <xdr:sp macro="" textlink="">
      <xdr:nvSpPr>
        <xdr:cNvPr id="774" name="OpenSolver213">
          <a:extLst>
            <a:ext uri="{FF2B5EF4-FFF2-40B4-BE49-F238E27FC236}">
              <a16:creationId xmlns:a16="http://schemas.microsoft.com/office/drawing/2014/main" xmlns="" id="{00000000-0008-0000-0200-000006030000}"/>
            </a:ext>
          </a:extLst>
        </xdr:cNvPr>
        <xdr:cNvSpPr/>
      </xdr:nvSpPr>
      <xdr:spPr>
        <a:xfrm>
          <a:off x="9753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70</xdr:col>
      <xdr:colOff>0</xdr:colOff>
      <xdr:row>4</xdr:row>
      <xdr:rowOff>0</xdr:rowOff>
    </xdr:from>
    <xdr:to>
      <xdr:col>71</xdr:col>
      <xdr:colOff>0</xdr:colOff>
      <xdr:row>5</xdr:row>
      <xdr:rowOff>0</xdr:rowOff>
    </xdr:to>
    <xdr:sp macro="" textlink="">
      <xdr:nvSpPr>
        <xdr:cNvPr id="775" name="OpenSolver214">
          <a:extLst>
            <a:ext uri="{FF2B5EF4-FFF2-40B4-BE49-F238E27FC236}">
              <a16:creationId xmlns:a16="http://schemas.microsoft.com/office/drawing/2014/main" xmlns="" id="{00000000-0008-0000-0200-000007030000}"/>
            </a:ext>
          </a:extLst>
        </xdr:cNvPr>
        <xdr:cNvSpPr/>
      </xdr:nvSpPr>
      <xdr:spPr>
        <a:xfrm>
          <a:off x="4267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70</xdr:col>
      <xdr:colOff>0</xdr:colOff>
      <xdr:row>313</xdr:row>
      <xdr:rowOff>0</xdr:rowOff>
    </xdr:to>
    <xdr:cxnSp macro="">
      <xdr:nvCxnSpPr>
        <xdr:cNvPr id="776" name="OpenSolver215">
          <a:extLst>
            <a:ext uri="{FF2B5EF4-FFF2-40B4-BE49-F238E27FC236}">
              <a16:creationId xmlns:a16="http://schemas.microsoft.com/office/drawing/2014/main" xmlns="" id="{00000000-0008-0000-0200-000008030000}"/>
            </a:ext>
          </a:extLst>
        </xdr:cNvPr>
        <xdr:cNvCxnSpPr>
          <a:stCxn id="774" idx="0"/>
          <a:endCxn id="775" idx="1"/>
        </xdr:cNvCxnSpPr>
      </xdr:nvCxnSpPr>
      <xdr:spPr>
        <a:xfrm flipV="1">
          <a:off x="10058400" y="857250"/>
          <a:ext cx="32613600" cy="58769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571500</xdr:colOff>
      <xdr:row>158</xdr:row>
      <xdr:rowOff>15875</xdr:rowOff>
    </xdr:from>
    <xdr:to>
      <xdr:col>43</xdr:col>
      <xdr:colOff>342900</xdr:colOff>
      <xdr:row>159</xdr:row>
      <xdr:rowOff>79375</xdr:rowOff>
    </xdr:to>
    <xdr:sp macro="" textlink="">
      <xdr:nvSpPr>
        <xdr:cNvPr id="777" name="OpenSolver216">
          <a:extLst>
            <a:ext uri="{FF2B5EF4-FFF2-40B4-BE49-F238E27FC236}">
              <a16:creationId xmlns:a16="http://schemas.microsoft.com/office/drawing/2014/main" xmlns="" id="{00000000-0008-0000-0200-000009030000}"/>
            </a:ext>
          </a:extLst>
        </xdr:cNvPr>
        <xdr:cNvSpPr/>
      </xdr:nvSpPr>
      <xdr:spPr>
        <a:xfrm>
          <a:off x="261747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0</xdr:colOff>
      <xdr:row>315</xdr:row>
      <xdr:rowOff>0</xdr:rowOff>
    </xdr:from>
    <xdr:to>
      <xdr:col>17</xdr:col>
      <xdr:colOff>0</xdr:colOff>
      <xdr:row>317</xdr:row>
      <xdr:rowOff>0</xdr:rowOff>
    </xdr:to>
    <xdr:sp macro="" textlink="">
      <xdr:nvSpPr>
        <xdr:cNvPr id="778" name="OpenSolver217">
          <a:extLst>
            <a:ext uri="{FF2B5EF4-FFF2-40B4-BE49-F238E27FC236}">
              <a16:creationId xmlns:a16="http://schemas.microsoft.com/office/drawing/2014/main" xmlns="" id="{00000000-0008-0000-0200-00000A030000}"/>
            </a:ext>
          </a:extLst>
        </xdr:cNvPr>
        <xdr:cNvSpPr/>
      </xdr:nvSpPr>
      <xdr:spPr>
        <a:xfrm>
          <a:off x="9753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71</xdr:col>
      <xdr:colOff>0</xdr:colOff>
      <xdr:row>4</xdr:row>
      <xdr:rowOff>0</xdr:rowOff>
    </xdr:from>
    <xdr:to>
      <xdr:col>72</xdr:col>
      <xdr:colOff>0</xdr:colOff>
      <xdr:row>5</xdr:row>
      <xdr:rowOff>0</xdr:rowOff>
    </xdr:to>
    <xdr:sp macro="" textlink="">
      <xdr:nvSpPr>
        <xdr:cNvPr id="779" name="OpenSolver218">
          <a:extLst>
            <a:ext uri="{FF2B5EF4-FFF2-40B4-BE49-F238E27FC236}">
              <a16:creationId xmlns:a16="http://schemas.microsoft.com/office/drawing/2014/main" xmlns="" id="{00000000-0008-0000-0200-00000B030000}"/>
            </a:ext>
          </a:extLst>
        </xdr:cNvPr>
        <xdr:cNvSpPr/>
      </xdr:nvSpPr>
      <xdr:spPr>
        <a:xfrm>
          <a:off x="4328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16</xdr:col>
      <xdr:colOff>304800</xdr:colOff>
      <xdr:row>4</xdr:row>
      <xdr:rowOff>95250</xdr:rowOff>
    </xdr:from>
    <xdr:to>
      <xdr:col>71</xdr:col>
      <xdr:colOff>0</xdr:colOff>
      <xdr:row>315</xdr:row>
      <xdr:rowOff>0</xdr:rowOff>
    </xdr:to>
    <xdr:cxnSp macro="">
      <xdr:nvCxnSpPr>
        <xdr:cNvPr id="780" name="OpenSolver219">
          <a:extLst>
            <a:ext uri="{FF2B5EF4-FFF2-40B4-BE49-F238E27FC236}">
              <a16:creationId xmlns:a16="http://schemas.microsoft.com/office/drawing/2014/main" xmlns="" id="{00000000-0008-0000-0200-00000C030000}"/>
            </a:ext>
          </a:extLst>
        </xdr:cNvPr>
        <xdr:cNvCxnSpPr>
          <a:stCxn id="778" idx="0"/>
          <a:endCxn id="779" idx="1"/>
        </xdr:cNvCxnSpPr>
      </xdr:nvCxnSpPr>
      <xdr:spPr>
        <a:xfrm flipV="1">
          <a:off x="10058400" y="857250"/>
          <a:ext cx="33223200" cy="59150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266700</xdr:colOff>
      <xdr:row>159</xdr:row>
      <xdr:rowOff>15875</xdr:rowOff>
    </xdr:from>
    <xdr:to>
      <xdr:col>44</xdr:col>
      <xdr:colOff>38100</xdr:colOff>
      <xdr:row>160</xdr:row>
      <xdr:rowOff>79375</xdr:rowOff>
    </xdr:to>
    <xdr:sp macro="" textlink="">
      <xdr:nvSpPr>
        <xdr:cNvPr id="781" name="OpenSolver220">
          <a:extLst>
            <a:ext uri="{FF2B5EF4-FFF2-40B4-BE49-F238E27FC236}">
              <a16:creationId xmlns:a16="http://schemas.microsoft.com/office/drawing/2014/main" xmlns="" id="{00000000-0008-0000-0200-00000D030000}"/>
            </a:ext>
          </a:extLst>
        </xdr:cNvPr>
        <xdr:cNvSpPr/>
      </xdr:nvSpPr>
      <xdr:spPr>
        <a:xfrm>
          <a:off x="26479500" y="30305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18</xdr:row>
      <xdr:rowOff>0</xdr:rowOff>
    </xdr:from>
    <xdr:to>
      <xdr:col>19</xdr:col>
      <xdr:colOff>0</xdr:colOff>
      <xdr:row>102</xdr:row>
      <xdr:rowOff>0</xdr:rowOff>
    </xdr:to>
    <xdr:sp macro="" textlink="">
      <xdr:nvSpPr>
        <xdr:cNvPr id="782" name="OpenSolver221">
          <a:extLst>
            <a:ext uri="{FF2B5EF4-FFF2-40B4-BE49-F238E27FC236}">
              <a16:creationId xmlns:a16="http://schemas.microsoft.com/office/drawing/2014/main" xmlns="" id="{00000000-0008-0000-0200-00000E030000}"/>
            </a:ext>
          </a:extLst>
        </xdr:cNvPr>
        <xdr:cNvSpPr/>
      </xdr:nvSpPr>
      <xdr:spPr>
        <a:xfrm>
          <a:off x="109728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72</xdr:col>
      <xdr:colOff>0</xdr:colOff>
      <xdr:row>4</xdr:row>
      <xdr:rowOff>0</xdr:rowOff>
    </xdr:from>
    <xdr:to>
      <xdr:col>73</xdr:col>
      <xdr:colOff>0</xdr:colOff>
      <xdr:row>5</xdr:row>
      <xdr:rowOff>0</xdr:rowOff>
    </xdr:to>
    <xdr:sp macro="" textlink="">
      <xdr:nvSpPr>
        <xdr:cNvPr id="783" name="OpenSolver222">
          <a:extLst>
            <a:ext uri="{FF2B5EF4-FFF2-40B4-BE49-F238E27FC236}">
              <a16:creationId xmlns:a16="http://schemas.microsoft.com/office/drawing/2014/main" xmlns="" id="{00000000-0008-0000-0200-00000F030000}"/>
            </a:ext>
          </a:extLst>
        </xdr:cNvPr>
        <xdr:cNvSpPr/>
      </xdr:nvSpPr>
      <xdr:spPr>
        <a:xfrm>
          <a:off x="4389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72</xdr:col>
      <xdr:colOff>0</xdr:colOff>
      <xdr:row>18</xdr:row>
      <xdr:rowOff>0</xdr:rowOff>
    </xdr:to>
    <xdr:cxnSp macro="">
      <xdr:nvCxnSpPr>
        <xdr:cNvPr id="784" name="OpenSolver223">
          <a:extLst>
            <a:ext uri="{FF2B5EF4-FFF2-40B4-BE49-F238E27FC236}">
              <a16:creationId xmlns:a16="http://schemas.microsoft.com/office/drawing/2014/main" xmlns="" id="{00000000-0008-0000-0200-000010030000}"/>
            </a:ext>
          </a:extLst>
        </xdr:cNvPr>
        <xdr:cNvCxnSpPr>
          <a:stCxn id="782" idx="0"/>
          <a:endCxn id="783" idx="1"/>
        </xdr:cNvCxnSpPr>
      </xdr:nvCxnSpPr>
      <xdr:spPr>
        <a:xfrm flipV="1">
          <a:off x="11277600" y="857250"/>
          <a:ext cx="32613600" cy="2571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571500</xdr:colOff>
      <xdr:row>10</xdr:row>
      <xdr:rowOff>111125</xdr:rowOff>
    </xdr:from>
    <xdr:to>
      <xdr:col>45</xdr:col>
      <xdr:colOff>342900</xdr:colOff>
      <xdr:row>11</xdr:row>
      <xdr:rowOff>174625</xdr:rowOff>
    </xdr:to>
    <xdr:sp macro="" textlink="">
      <xdr:nvSpPr>
        <xdr:cNvPr id="785" name="OpenSolver224">
          <a:extLst>
            <a:ext uri="{FF2B5EF4-FFF2-40B4-BE49-F238E27FC236}">
              <a16:creationId xmlns:a16="http://schemas.microsoft.com/office/drawing/2014/main" xmlns="" id="{00000000-0008-0000-0200-000011030000}"/>
            </a:ext>
          </a:extLst>
        </xdr:cNvPr>
        <xdr:cNvSpPr/>
      </xdr:nvSpPr>
      <xdr:spPr>
        <a:xfrm>
          <a:off x="273939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102</xdr:row>
      <xdr:rowOff>0</xdr:rowOff>
    </xdr:from>
    <xdr:to>
      <xdr:col>19</xdr:col>
      <xdr:colOff>0</xdr:colOff>
      <xdr:row>127</xdr:row>
      <xdr:rowOff>0</xdr:rowOff>
    </xdr:to>
    <xdr:sp macro="" textlink="">
      <xdr:nvSpPr>
        <xdr:cNvPr id="786" name="OpenSolver225">
          <a:extLst>
            <a:ext uri="{FF2B5EF4-FFF2-40B4-BE49-F238E27FC236}">
              <a16:creationId xmlns:a16="http://schemas.microsoft.com/office/drawing/2014/main" xmlns="" id="{00000000-0008-0000-0200-000012030000}"/>
            </a:ext>
          </a:extLst>
        </xdr:cNvPr>
        <xdr:cNvSpPr/>
      </xdr:nvSpPr>
      <xdr:spPr>
        <a:xfrm>
          <a:off x="109728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73</xdr:col>
      <xdr:colOff>0</xdr:colOff>
      <xdr:row>4</xdr:row>
      <xdr:rowOff>0</xdr:rowOff>
    </xdr:from>
    <xdr:to>
      <xdr:col>74</xdr:col>
      <xdr:colOff>0</xdr:colOff>
      <xdr:row>5</xdr:row>
      <xdr:rowOff>0</xdr:rowOff>
    </xdr:to>
    <xdr:sp macro="" textlink="">
      <xdr:nvSpPr>
        <xdr:cNvPr id="787" name="OpenSolver226">
          <a:extLst>
            <a:ext uri="{FF2B5EF4-FFF2-40B4-BE49-F238E27FC236}">
              <a16:creationId xmlns:a16="http://schemas.microsoft.com/office/drawing/2014/main" xmlns="" id="{00000000-0008-0000-0200-000013030000}"/>
            </a:ext>
          </a:extLst>
        </xdr:cNvPr>
        <xdr:cNvSpPr/>
      </xdr:nvSpPr>
      <xdr:spPr>
        <a:xfrm>
          <a:off x="4450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73</xdr:col>
      <xdr:colOff>0</xdr:colOff>
      <xdr:row>102</xdr:row>
      <xdr:rowOff>0</xdr:rowOff>
    </xdr:to>
    <xdr:cxnSp macro="">
      <xdr:nvCxnSpPr>
        <xdr:cNvPr id="788" name="OpenSolver227">
          <a:extLst>
            <a:ext uri="{FF2B5EF4-FFF2-40B4-BE49-F238E27FC236}">
              <a16:creationId xmlns:a16="http://schemas.microsoft.com/office/drawing/2014/main" xmlns="" id="{00000000-0008-0000-0200-000014030000}"/>
            </a:ext>
          </a:extLst>
        </xdr:cNvPr>
        <xdr:cNvCxnSpPr>
          <a:stCxn id="786" idx="0"/>
          <a:endCxn id="787" idx="1"/>
        </xdr:cNvCxnSpPr>
      </xdr:nvCxnSpPr>
      <xdr:spPr>
        <a:xfrm flipV="1">
          <a:off x="11277600" y="857250"/>
          <a:ext cx="33223200" cy="1857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266700</xdr:colOff>
      <xdr:row>52</xdr:row>
      <xdr:rowOff>111125</xdr:rowOff>
    </xdr:from>
    <xdr:to>
      <xdr:col>46</xdr:col>
      <xdr:colOff>38100</xdr:colOff>
      <xdr:row>53</xdr:row>
      <xdr:rowOff>174625</xdr:rowOff>
    </xdr:to>
    <xdr:sp macro="" textlink="">
      <xdr:nvSpPr>
        <xdr:cNvPr id="789" name="OpenSolver228">
          <a:extLst>
            <a:ext uri="{FF2B5EF4-FFF2-40B4-BE49-F238E27FC236}">
              <a16:creationId xmlns:a16="http://schemas.microsoft.com/office/drawing/2014/main" xmlns="" id="{00000000-0008-0000-0200-000015030000}"/>
            </a:ext>
          </a:extLst>
        </xdr:cNvPr>
        <xdr:cNvSpPr/>
      </xdr:nvSpPr>
      <xdr:spPr>
        <a:xfrm>
          <a:off x="276987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127</xdr:row>
      <xdr:rowOff>0</xdr:rowOff>
    </xdr:from>
    <xdr:to>
      <xdr:col>19</xdr:col>
      <xdr:colOff>0</xdr:colOff>
      <xdr:row>135</xdr:row>
      <xdr:rowOff>0</xdr:rowOff>
    </xdr:to>
    <xdr:sp macro="" textlink="">
      <xdr:nvSpPr>
        <xdr:cNvPr id="790" name="OpenSolver229">
          <a:extLst>
            <a:ext uri="{FF2B5EF4-FFF2-40B4-BE49-F238E27FC236}">
              <a16:creationId xmlns:a16="http://schemas.microsoft.com/office/drawing/2014/main" xmlns="" id="{00000000-0008-0000-0200-000016030000}"/>
            </a:ext>
          </a:extLst>
        </xdr:cNvPr>
        <xdr:cNvSpPr/>
      </xdr:nvSpPr>
      <xdr:spPr>
        <a:xfrm>
          <a:off x="109728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74</xdr:col>
      <xdr:colOff>0</xdr:colOff>
      <xdr:row>4</xdr:row>
      <xdr:rowOff>0</xdr:rowOff>
    </xdr:from>
    <xdr:to>
      <xdr:col>75</xdr:col>
      <xdr:colOff>0</xdr:colOff>
      <xdr:row>5</xdr:row>
      <xdr:rowOff>0</xdr:rowOff>
    </xdr:to>
    <xdr:sp macro="" textlink="">
      <xdr:nvSpPr>
        <xdr:cNvPr id="791" name="OpenSolver230">
          <a:extLst>
            <a:ext uri="{FF2B5EF4-FFF2-40B4-BE49-F238E27FC236}">
              <a16:creationId xmlns:a16="http://schemas.microsoft.com/office/drawing/2014/main" xmlns="" id="{00000000-0008-0000-0200-000017030000}"/>
            </a:ext>
          </a:extLst>
        </xdr:cNvPr>
        <xdr:cNvSpPr/>
      </xdr:nvSpPr>
      <xdr:spPr>
        <a:xfrm>
          <a:off x="4511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74</xdr:col>
      <xdr:colOff>0</xdr:colOff>
      <xdr:row>127</xdr:row>
      <xdr:rowOff>0</xdr:rowOff>
    </xdr:to>
    <xdr:cxnSp macro="">
      <xdr:nvCxnSpPr>
        <xdr:cNvPr id="792" name="OpenSolver231">
          <a:extLst>
            <a:ext uri="{FF2B5EF4-FFF2-40B4-BE49-F238E27FC236}">
              <a16:creationId xmlns:a16="http://schemas.microsoft.com/office/drawing/2014/main" xmlns="" id="{00000000-0008-0000-0200-000018030000}"/>
            </a:ext>
          </a:extLst>
        </xdr:cNvPr>
        <xdr:cNvCxnSpPr>
          <a:stCxn id="790" idx="0"/>
          <a:endCxn id="791" idx="1"/>
        </xdr:cNvCxnSpPr>
      </xdr:nvCxnSpPr>
      <xdr:spPr>
        <a:xfrm flipV="1">
          <a:off x="11277600" y="857250"/>
          <a:ext cx="33832800" cy="23336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571500</xdr:colOff>
      <xdr:row>65</xdr:row>
      <xdr:rowOff>15875</xdr:rowOff>
    </xdr:from>
    <xdr:to>
      <xdr:col>46</xdr:col>
      <xdr:colOff>342900</xdr:colOff>
      <xdr:row>66</xdr:row>
      <xdr:rowOff>79375</xdr:rowOff>
    </xdr:to>
    <xdr:sp macro="" textlink="">
      <xdr:nvSpPr>
        <xdr:cNvPr id="793" name="OpenSolver232">
          <a:extLst>
            <a:ext uri="{FF2B5EF4-FFF2-40B4-BE49-F238E27FC236}">
              <a16:creationId xmlns:a16="http://schemas.microsoft.com/office/drawing/2014/main" xmlns="" id="{00000000-0008-0000-0200-000019030000}"/>
            </a:ext>
          </a:extLst>
        </xdr:cNvPr>
        <xdr:cNvSpPr/>
      </xdr:nvSpPr>
      <xdr:spPr>
        <a:xfrm>
          <a:off x="280035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135</xdr:row>
      <xdr:rowOff>0</xdr:rowOff>
    </xdr:from>
    <xdr:to>
      <xdr:col>19</xdr:col>
      <xdr:colOff>0</xdr:colOff>
      <xdr:row>142</xdr:row>
      <xdr:rowOff>0</xdr:rowOff>
    </xdr:to>
    <xdr:sp macro="" textlink="">
      <xdr:nvSpPr>
        <xdr:cNvPr id="794" name="OpenSolver233">
          <a:extLst>
            <a:ext uri="{FF2B5EF4-FFF2-40B4-BE49-F238E27FC236}">
              <a16:creationId xmlns:a16="http://schemas.microsoft.com/office/drawing/2014/main" xmlns="" id="{00000000-0008-0000-0200-00001A030000}"/>
            </a:ext>
          </a:extLst>
        </xdr:cNvPr>
        <xdr:cNvSpPr/>
      </xdr:nvSpPr>
      <xdr:spPr>
        <a:xfrm>
          <a:off x="109728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75</xdr:col>
      <xdr:colOff>0</xdr:colOff>
      <xdr:row>4</xdr:row>
      <xdr:rowOff>0</xdr:rowOff>
    </xdr:from>
    <xdr:to>
      <xdr:col>76</xdr:col>
      <xdr:colOff>0</xdr:colOff>
      <xdr:row>5</xdr:row>
      <xdr:rowOff>0</xdr:rowOff>
    </xdr:to>
    <xdr:sp macro="" textlink="">
      <xdr:nvSpPr>
        <xdr:cNvPr id="795" name="OpenSolver234">
          <a:extLst>
            <a:ext uri="{FF2B5EF4-FFF2-40B4-BE49-F238E27FC236}">
              <a16:creationId xmlns:a16="http://schemas.microsoft.com/office/drawing/2014/main" xmlns="" id="{00000000-0008-0000-0200-00001B030000}"/>
            </a:ext>
          </a:extLst>
        </xdr:cNvPr>
        <xdr:cNvSpPr/>
      </xdr:nvSpPr>
      <xdr:spPr>
        <a:xfrm>
          <a:off x="4572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75</xdr:col>
      <xdr:colOff>0</xdr:colOff>
      <xdr:row>135</xdr:row>
      <xdr:rowOff>0</xdr:rowOff>
    </xdr:to>
    <xdr:cxnSp macro="">
      <xdr:nvCxnSpPr>
        <xdr:cNvPr id="796" name="OpenSolver235">
          <a:extLst>
            <a:ext uri="{FF2B5EF4-FFF2-40B4-BE49-F238E27FC236}">
              <a16:creationId xmlns:a16="http://schemas.microsoft.com/office/drawing/2014/main" xmlns="" id="{00000000-0008-0000-0200-00001C030000}"/>
            </a:ext>
          </a:extLst>
        </xdr:cNvPr>
        <xdr:cNvCxnSpPr>
          <a:stCxn id="794" idx="0"/>
          <a:endCxn id="795" idx="1"/>
        </xdr:cNvCxnSpPr>
      </xdr:nvCxnSpPr>
      <xdr:spPr>
        <a:xfrm flipV="1">
          <a:off x="11277600" y="857250"/>
          <a:ext cx="34442400" cy="24860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266700</xdr:colOff>
      <xdr:row>69</xdr:row>
      <xdr:rowOff>15875</xdr:rowOff>
    </xdr:from>
    <xdr:to>
      <xdr:col>47</xdr:col>
      <xdr:colOff>38100</xdr:colOff>
      <xdr:row>70</xdr:row>
      <xdr:rowOff>79375</xdr:rowOff>
    </xdr:to>
    <xdr:sp macro="" textlink="">
      <xdr:nvSpPr>
        <xdr:cNvPr id="797" name="OpenSolver236">
          <a:extLst>
            <a:ext uri="{FF2B5EF4-FFF2-40B4-BE49-F238E27FC236}">
              <a16:creationId xmlns:a16="http://schemas.microsoft.com/office/drawing/2014/main" xmlns="" id="{00000000-0008-0000-0200-00001D030000}"/>
            </a:ext>
          </a:extLst>
        </xdr:cNvPr>
        <xdr:cNvSpPr/>
      </xdr:nvSpPr>
      <xdr:spPr>
        <a:xfrm>
          <a:off x="283083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142</xdr:row>
      <xdr:rowOff>0</xdr:rowOff>
    </xdr:from>
    <xdr:to>
      <xdr:col>19</xdr:col>
      <xdr:colOff>0</xdr:colOff>
      <xdr:row>277</xdr:row>
      <xdr:rowOff>0</xdr:rowOff>
    </xdr:to>
    <xdr:sp macro="" textlink="">
      <xdr:nvSpPr>
        <xdr:cNvPr id="798" name="OpenSolver237">
          <a:extLst>
            <a:ext uri="{FF2B5EF4-FFF2-40B4-BE49-F238E27FC236}">
              <a16:creationId xmlns:a16="http://schemas.microsoft.com/office/drawing/2014/main" xmlns="" id="{00000000-0008-0000-0200-00001E030000}"/>
            </a:ext>
          </a:extLst>
        </xdr:cNvPr>
        <xdr:cNvSpPr/>
      </xdr:nvSpPr>
      <xdr:spPr>
        <a:xfrm>
          <a:off x="109728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76</xdr:col>
      <xdr:colOff>0</xdr:colOff>
      <xdr:row>4</xdr:row>
      <xdr:rowOff>0</xdr:rowOff>
    </xdr:from>
    <xdr:to>
      <xdr:col>77</xdr:col>
      <xdr:colOff>0</xdr:colOff>
      <xdr:row>5</xdr:row>
      <xdr:rowOff>0</xdr:rowOff>
    </xdr:to>
    <xdr:sp macro="" textlink="">
      <xdr:nvSpPr>
        <xdr:cNvPr id="799" name="OpenSolver238">
          <a:extLst>
            <a:ext uri="{FF2B5EF4-FFF2-40B4-BE49-F238E27FC236}">
              <a16:creationId xmlns:a16="http://schemas.microsoft.com/office/drawing/2014/main" xmlns="" id="{00000000-0008-0000-0200-00001F030000}"/>
            </a:ext>
          </a:extLst>
        </xdr:cNvPr>
        <xdr:cNvSpPr/>
      </xdr:nvSpPr>
      <xdr:spPr>
        <a:xfrm>
          <a:off x="4632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76</xdr:col>
      <xdr:colOff>0</xdr:colOff>
      <xdr:row>142</xdr:row>
      <xdr:rowOff>0</xdr:rowOff>
    </xdr:to>
    <xdr:cxnSp macro="">
      <xdr:nvCxnSpPr>
        <xdr:cNvPr id="800" name="OpenSolver239">
          <a:extLst>
            <a:ext uri="{FF2B5EF4-FFF2-40B4-BE49-F238E27FC236}">
              <a16:creationId xmlns:a16="http://schemas.microsoft.com/office/drawing/2014/main" xmlns="" id="{00000000-0008-0000-0200-000020030000}"/>
            </a:ext>
          </a:extLst>
        </xdr:cNvPr>
        <xdr:cNvCxnSpPr>
          <a:stCxn id="798" idx="0"/>
          <a:endCxn id="799" idx="1"/>
        </xdr:cNvCxnSpPr>
      </xdr:nvCxnSpPr>
      <xdr:spPr>
        <a:xfrm flipV="1">
          <a:off x="11277600" y="857250"/>
          <a:ext cx="35052000" cy="2619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571500</xdr:colOff>
      <xdr:row>72</xdr:row>
      <xdr:rowOff>111125</xdr:rowOff>
    </xdr:from>
    <xdr:to>
      <xdr:col>47</xdr:col>
      <xdr:colOff>342900</xdr:colOff>
      <xdr:row>73</xdr:row>
      <xdr:rowOff>174625</xdr:rowOff>
    </xdr:to>
    <xdr:sp macro="" textlink="">
      <xdr:nvSpPr>
        <xdr:cNvPr id="801" name="OpenSolver240">
          <a:extLst>
            <a:ext uri="{FF2B5EF4-FFF2-40B4-BE49-F238E27FC236}">
              <a16:creationId xmlns:a16="http://schemas.microsoft.com/office/drawing/2014/main" xmlns="" id="{00000000-0008-0000-0200-000021030000}"/>
            </a:ext>
          </a:extLst>
        </xdr:cNvPr>
        <xdr:cNvSpPr/>
      </xdr:nvSpPr>
      <xdr:spPr>
        <a:xfrm>
          <a:off x="286131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277</xdr:row>
      <xdr:rowOff>0</xdr:rowOff>
    </xdr:from>
    <xdr:to>
      <xdr:col>19</xdr:col>
      <xdr:colOff>0</xdr:colOff>
      <xdr:row>304</xdr:row>
      <xdr:rowOff>0</xdr:rowOff>
    </xdr:to>
    <xdr:sp macro="" textlink="">
      <xdr:nvSpPr>
        <xdr:cNvPr id="802" name="OpenSolver241">
          <a:extLst>
            <a:ext uri="{FF2B5EF4-FFF2-40B4-BE49-F238E27FC236}">
              <a16:creationId xmlns:a16="http://schemas.microsoft.com/office/drawing/2014/main" xmlns="" id="{00000000-0008-0000-0200-000022030000}"/>
            </a:ext>
          </a:extLst>
        </xdr:cNvPr>
        <xdr:cNvSpPr/>
      </xdr:nvSpPr>
      <xdr:spPr>
        <a:xfrm>
          <a:off x="109728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77</xdr:col>
      <xdr:colOff>0</xdr:colOff>
      <xdr:row>4</xdr:row>
      <xdr:rowOff>0</xdr:rowOff>
    </xdr:from>
    <xdr:to>
      <xdr:col>78</xdr:col>
      <xdr:colOff>0</xdr:colOff>
      <xdr:row>5</xdr:row>
      <xdr:rowOff>0</xdr:rowOff>
    </xdr:to>
    <xdr:sp macro="" textlink="">
      <xdr:nvSpPr>
        <xdr:cNvPr id="803" name="OpenSolver242">
          <a:extLst>
            <a:ext uri="{FF2B5EF4-FFF2-40B4-BE49-F238E27FC236}">
              <a16:creationId xmlns:a16="http://schemas.microsoft.com/office/drawing/2014/main" xmlns="" id="{00000000-0008-0000-0200-000023030000}"/>
            </a:ext>
          </a:extLst>
        </xdr:cNvPr>
        <xdr:cNvSpPr/>
      </xdr:nvSpPr>
      <xdr:spPr>
        <a:xfrm>
          <a:off x="4693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77</xdr:col>
      <xdr:colOff>0</xdr:colOff>
      <xdr:row>277</xdr:row>
      <xdr:rowOff>0</xdr:rowOff>
    </xdr:to>
    <xdr:cxnSp macro="">
      <xdr:nvCxnSpPr>
        <xdr:cNvPr id="804" name="OpenSolver243">
          <a:extLst>
            <a:ext uri="{FF2B5EF4-FFF2-40B4-BE49-F238E27FC236}">
              <a16:creationId xmlns:a16="http://schemas.microsoft.com/office/drawing/2014/main" xmlns="" id="{00000000-0008-0000-0200-000024030000}"/>
            </a:ext>
          </a:extLst>
        </xdr:cNvPr>
        <xdr:cNvCxnSpPr>
          <a:stCxn id="802" idx="0"/>
          <a:endCxn id="803" idx="1"/>
        </xdr:cNvCxnSpPr>
      </xdr:nvCxnSpPr>
      <xdr:spPr>
        <a:xfrm flipV="1">
          <a:off x="11277600" y="857250"/>
          <a:ext cx="35661600" cy="51911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266700</xdr:colOff>
      <xdr:row>140</xdr:row>
      <xdr:rowOff>15875</xdr:rowOff>
    </xdr:from>
    <xdr:to>
      <xdr:col>48</xdr:col>
      <xdr:colOff>38100</xdr:colOff>
      <xdr:row>141</xdr:row>
      <xdr:rowOff>79375</xdr:rowOff>
    </xdr:to>
    <xdr:sp macro="" textlink="">
      <xdr:nvSpPr>
        <xdr:cNvPr id="805" name="OpenSolver244">
          <a:extLst>
            <a:ext uri="{FF2B5EF4-FFF2-40B4-BE49-F238E27FC236}">
              <a16:creationId xmlns:a16="http://schemas.microsoft.com/office/drawing/2014/main" xmlns="" id="{00000000-0008-0000-0200-000025030000}"/>
            </a:ext>
          </a:extLst>
        </xdr:cNvPr>
        <xdr:cNvSpPr/>
      </xdr:nvSpPr>
      <xdr:spPr>
        <a:xfrm>
          <a:off x="289179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304</xdr:row>
      <xdr:rowOff>0</xdr:rowOff>
    </xdr:from>
    <xdr:to>
      <xdr:col>19</xdr:col>
      <xdr:colOff>0</xdr:colOff>
      <xdr:row>313</xdr:row>
      <xdr:rowOff>0</xdr:rowOff>
    </xdr:to>
    <xdr:sp macro="" textlink="">
      <xdr:nvSpPr>
        <xdr:cNvPr id="806" name="OpenSolver245">
          <a:extLst>
            <a:ext uri="{FF2B5EF4-FFF2-40B4-BE49-F238E27FC236}">
              <a16:creationId xmlns:a16="http://schemas.microsoft.com/office/drawing/2014/main" xmlns="" id="{00000000-0008-0000-0200-000026030000}"/>
            </a:ext>
          </a:extLst>
        </xdr:cNvPr>
        <xdr:cNvSpPr/>
      </xdr:nvSpPr>
      <xdr:spPr>
        <a:xfrm>
          <a:off x="109728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78</xdr:col>
      <xdr:colOff>0</xdr:colOff>
      <xdr:row>4</xdr:row>
      <xdr:rowOff>0</xdr:rowOff>
    </xdr:from>
    <xdr:to>
      <xdr:col>79</xdr:col>
      <xdr:colOff>0</xdr:colOff>
      <xdr:row>5</xdr:row>
      <xdr:rowOff>0</xdr:rowOff>
    </xdr:to>
    <xdr:sp macro="" textlink="">
      <xdr:nvSpPr>
        <xdr:cNvPr id="807" name="OpenSolver246">
          <a:extLst>
            <a:ext uri="{FF2B5EF4-FFF2-40B4-BE49-F238E27FC236}">
              <a16:creationId xmlns:a16="http://schemas.microsoft.com/office/drawing/2014/main" xmlns="" id="{00000000-0008-0000-0200-000027030000}"/>
            </a:ext>
          </a:extLst>
        </xdr:cNvPr>
        <xdr:cNvSpPr/>
      </xdr:nvSpPr>
      <xdr:spPr>
        <a:xfrm>
          <a:off x="4754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78</xdr:col>
      <xdr:colOff>0</xdr:colOff>
      <xdr:row>304</xdr:row>
      <xdr:rowOff>0</xdr:rowOff>
    </xdr:to>
    <xdr:cxnSp macro="">
      <xdr:nvCxnSpPr>
        <xdr:cNvPr id="808" name="OpenSolver247">
          <a:extLst>
            <a:ext uri="{FF2B5EF4-FFF2-40B4-BE49-F238E27FC236}">
              <a16:creationId xmlns:a16="http://schemas.microsoft.com/office/drawing/2014/main" xmlns="" id="{00000000-0008-0000-0200-000028030000}"/>
            </a:ext>
          </a:extLst>
        </xdr:cNvPr>
        <xdr:cNvCxnSpPr>
          <a:stCxn id="806" idx="0"/>
          <a:endCxn id="807" idx="1"/>
        </xdr:cNvCxnSpPr>
      </xdr:nvCxnSpPr>
      <xdr:spPr>
        <a:xfrm flipV="1">
          <a:off x="11277600" y="857250"/>
          <a:ext cx="36271200" cy="57054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153</xdr:row>
      <xdr:rowOff>111125</xdr:rowOff>
    </xdr:from>
    <xdr:to>
      <xdr:col>48</xdr:col>
      <xdr:colOff>342900</xdr:colOff>
      <xdr:row>154</xdr:row>
      <xdr:rowOff>174625</xdr:rowOff>
    </xdr:to>
    <xdr:sp macro="" textlink="">
      <xdr:nvSpPr>
        <xdr:cNvPr id="809" name="OpenSolver248">
          <a:extLst>
            <a:ext uri="{FF2B5EF4-FFF2-40B4-BE49-F238E27FC236}">
              <a16:creationId xmlns:a16="http://schemas.microsoft.com/office/drawing/2014/main" xmlns="" id="{00000000-0008-0000-0200-000029030000}"/>
            </a:ext>
          </a:extLst>
        </xdr:cNvPr>
        <xdr:cNvSpPr/>
      </xdr:nvSpPr>
      <xdr:spPr>
        <a:xfrm>
          <a:off x="292227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313</xdr:row>
      <xdr:rowOff>0</xdr:rowOff>
    </xdr:from>
    <xdr:to>
      <xdr:col>19</xdr:col>
      <xdr:colOff>0</xdr:colOff>
      <xdr:row>315</xdr:row>
      <xdr:rowOff>0</xdr:rowOff>
    </xdr:to>
    <xdr:sp macro="" textlink="">
      <xdr:nvSpPr>
        <xdr:cNvPr id="810" name="OpenSolver249">
          <a:extLst>
            <a:ext uri="{FF2B5EF4-FFF2-40B4-BE49-F238E27FC236}">
              <a16:creationId xmlns:a16="http://schemas.microsoft.com/office/drawing/2014/main" xmlns="" id="{00000000-0008-0000-0200-00002A030000}"/>
            </a:ext>
          </a:extLst>
        </xdr:cNvPr>
        <xdr:cNvSpPr/>
      </xdr:nvSpPr>
      <xdr:spPr>
        <a:xfrm>
          <a:off x="109728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79</xdr:col>
      <xdr:colOff>0</xdr:colOff>
      <xdr:row>4</xdr:row>
      <xdr:rowOff>0</xdr:rowOff>
    </xdr:from>
    <xdr:to>
      <xdr:col>80</xdr:col>
      <xdr:colOff>0</xdr:colOff>
      <xdr:row>5</xdr:row>
      <xdr:rowOff>0</xdr:rowOff>
    </xdr:to>
    <xdr:sp macro="" textlink="">
      <xdr:nvSpPr>
        <xdr:cNvPr id="811" name="OpenSolver250">
          <a:extLst>
            <a:ext uri="{FF2B5EF4-FFF2-40B4-BE49-F238E27FC236}">
              <a16:creationId xmlns:a16="http://schemas.microsoft.com/office/drawing/2014/main" xmlns="" id="{00000000-0008-0000-0200-00002B030000}"/>
            </a:ext>
          </a:extLst>
        </xdr:cNvPr>
        <xdr:cNvSpPr/>
      </xdr:nvSpPr>
      <xdr:spPr>
        <a:xfrm>
          <a:off x="4815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18</xdr:col>
      <xdr:colOff>304800</xdr:colOff>
      <xdr:row>4</xdr:row>
      <xdr:rowOff>95250</xdr:rowOff>
    </xdr:from>
    <xdr:to>
      <xdr:col>79</xdr:col>
      <xdr:colOff>0</xdr:colOff>
      <xdr:row>313</xdr:row>
      <xdr:rowOff>0</xdr:rowOff>
    </xdr:to>
    <xdr:cxnSp macro="">
      <xdr:nvCxnSpPr>
        <xdr:cNvPr id="812" name="OpenSolver251">
          <a:extLst>
            <a:ext uri="{FF2B5EF4-FFF2-40B4-BE49-F238E27FC236}">
              <a16:creationId xmlns:a16="http://schemas.microsoft.com/office/drawing/2014/main" xmlns="" id="{00000000-0008-0000-0200-00002C030000}"/>
            </a:ext>
          </a:extLst>
        </xdr:cNvPr>
        <xdr:cNvCxnSpPr>
          <a:stCxn id="810" idx="0"/>
          <a:endCxn id="811" idx="1"/>
        </xdr:cNvCxnSpPr>
      </xdr:nvCxnSpPr>
      <xdr:spPr>
        <a:xfrm flipV="1">
          <a:off x="11277600" y="857250"/>
          <a:ext cx="36880800" cy="58769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266700</xdr:colOff>
      <xdr:row>158</xdr:row>
      <xdr:rowOff>15875</xdr:rowOff>
    </xdr:from>
    <xdr:to>
      <xdr:col>49</xdr:col>
      <xdr:colOff>38100</xdr:colOff>
      <xdr:row>159</xdr:row>
      <xdr:rowOff>79375</xdr:rowOff>
    </xdr:to>
    <xdr:sp macro="" textlink="">
      <xdr:nvSpPr>
        <xdr:cNvPr id="813" name="OpenSolver252">
          <a:extLst>
            <a:ext uri="{FF2B5EF4-FFF2-40B4-BE49-F238E27FC236}">
              <a16:creationId xmlns:a16="http://schemas.microsoft.com/office/drawing/2014/main" xmlns="" id="{00000000-0008-0000-0200-00002D030000}"/>
            </a:ext>
          </a:extLst>
        </xdr:cNvPr>
        <xdr:cNvSpPr/>
      </xdr:nvSpPr>
      <xdr:spPr>
        <a:xfrm>
          <a:off x="29527500" y="30114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0</xdr:colOff>
      <xdr:row>315</xdr:row>
      <xdr:rowOff>0</xdr:rowOff>
    </xdr:from>
    <xdr:to>
      <xdr:col>19</xdr:col>
      <xdr:colOff>0</xdr:colOff>
      <xdr:row>317</xdr:row>
      <xdr:rowOff>0</xdr:rowOff>
    </xdr:to>
    <xdr:sp macro="" textlink="">
      <xdr:nvSpPr>
        <xdr:cNvPr id="814" name="OpenSolver253">
          <a:extLst>
            <a:ext uri="{FF2B5EF4-FFF2-40B4-BE49-F238E27FC236}">
              <a16:creationId xmlns:a16="http://schemas.microsoft.com/office/drawing/2014/main" xmlns="" id="{00000000-0008-0000-0200-00002E030000}"/>
            </a:ext>
          </a:extLst>
        </xdr:cNvPr>
        <xdr:cNvSpPr/>
      </xdr:nvSpPr>
      <xdr:spPr>
        <a:xfrm>
          <a:off x="109728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80</xdr:col>
      <xdr:colOff>0</xdr:colOff>
      <xdr:row>4</xdr:row>
      <xdr:rowOff>0</xdr:rowOff>
    </xdr:from>
    <xdr:to>
      <xdr:col>81</xdr:col>
      <xdr:colOff>0</xdr:colOff>
      <xdr:row>5</xdr:row>
      <xdr:rowOff>0</xdr:rowOff>
    </xdr:to>
    <xdr:sp macro="" textlink="">
      <xdr:nvSpPr>
        <xdr:cNvPr id="815" name="OpenSolver254">
          <a:extLst>
            <a:ext uri="{FF2B5EF4-FFF2-40B4-BE49-F238E27FC236}">
              <a16:creationId xmlns:a16="http://schemas.microsoft.com/office/drawing/2014/main" xmlns="" id="{00000000-0008-0000-0200-00002F030000}"/>
            </a:ext>
          </a:extLst>
        </xdr:cNvPr>
        <xdr:cNvSpPr/>
      </xdr:nvSpPr>
      <xdr:spPr>
        <a:xfrm>
          <a:off x="4876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4</xdr:row>
      <xdr:rowOff>95250</xdr:rowOff>
    </xdr:from>
    <xdr:to>
      <xdr:col>80</xdr:col>
      <xdr:colOff>0</xdr:colOff>
      <xdr:row>316</xdr:row>
      <xdr:rowOff>0</xdr:rowOff>
    </xdr:to>
    <xdr:cxnSp macro="">
      <xdr:nvCxnSpPr>
        <xdr:cNvPr id="816" name="OpenSolver255">
          <a:extLst>
            <a:ext uri="{FF2B5EF4-FFF2-40B4-BE49-F238E27FC236}">
              <a16:creationId xmlns:a16="http://schemas.microsoft.com/office/drawing/2014/main" xmlns="" id="{00000000-0008-0000-0200-000030030000}"/>
            </a:ext>
          </a:extLst>
        </xdr:cNvPr>
        <xdr:cNvCxnSpPr>
          <a:stCxn id="814" idx="3"/>
          <a:endCxn id="815" idx="1"/>
        </xdr:cNvCxnSpPr>
      </xdr:nvCxnSpPr>
      <xdr:spPr>
        <a:xfrm flipV="1">
          <a:off x="11582400" y="857250"/>
          <a:ext cx="37185600" cy="59340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114300</xdr:colOff>
      <xdr:row>159</xdr:row>
      <xdr:rowOff>111125</xdr:rowOff>
    </xdr:from>
    <xdr:to>
      <xdr:col>49</xdr:col>
      <xdr:colOff>495300</xdr:colOff>
      <xdr:row>160</xdr:row>
      <xdr:rowOff>174625</xdr:rowOff>
    </xdr:to>
    <xdr:sp macro="" textlink="">
      <xdr:nvSpPr>
        <xdr:cNvPr id="817" name="OpenSolver256">
          <a:extLst>
            <a:ext uri="{FF2B5EF4-FFF2-40B4-BE49-F238E27FC236}">
              <a16:creationId xmlns:a16="http://schemas.microsoft.com/office/drawing/2014/main" xmlns="" id="{00000000-0008-0000-0200-000031030000}"/>
            </a:ext>
          </a:extLst>
        </xdr:cNvPr>
        <xdr:cNvSpPr/>
      </xdr:nvSpPr>
      <xdr:spPr>
        <a:xfrm>
          <a:off x="299847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18</xdr:row>
      <xdr:rowOff>0</xdr:rowOff>
    </xdr:from>
    <xdr:to>
      <xdr:col>20</xdr:col>
      <xdr:colOff>0</xdr:colOff>
      <xdr:row>102</xdr:row>
      <xdr:rowOff>0</xdr:rowOff>
    </xdr:to>
    <xdr:sp macro="" textlink="">
      <xdr:nvSpPr>
        <xdr:cNvPr id="818" name="OpenSolver257">
          <a:extLst>
            <a:ext uri="{FF2B5EF4-FFF2-40B4-BE49-F238E27FC236}">
              <a16:creationId xmlns:a16="http://schemas.microsoft.com/office/drawing/2014/main" xmlns="" id="{00000000-0008-0000-0200-000032030000}"/>
            </a:ext>
          </a:extLst>
        </xdr:cNvPr>
        <xdr:cNvSpPr/>
      </xdr:nvSpPr>
      <xdr:spPr>
        <a:xfrm>
          <a:off x="115824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81</xdr:col>
      <xdr:colOff>0</xdr:colOff>
      <xdr:row>4</xdr:row>
      <xdr:rowOff>0</xdr:rowOff>
    </xdr:from>
    <xdr:to>
      <xdr:col>82</xdr:col>
      <xdr:colOff>0</xdr:colOff>
      <xdr:row>5</xdr:row>
      <xdr:rowOff>0</xdr:rowOff>
    </xdr:to>
    <xdr:sp macro="" textlink="">
      <xdr:nvSpPr>
        <xdr:cNvPr id="819" name="OpenSolver258">
          <a:extLst>
            <a:ext uri="{FF2B5EF4-FFF2-40B4-BE49-F238E27FC236}">
              <a16:creationId xmlns:a16="http://schemas.microsoft.com/office/drawing/2014/main" xmlns="" id="{00000000-0008-0000-0200-000033030000}"/>
            </a:ext>
          </a:extLst>
        </xdr:cNvPr>
        <xdr:cNvSpPr/>
      </xdr:nvSpPr>
      <xdr:spPr>
        <a:xfrm>
          <a:off x="4937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81</xdr:col>
      <xdr:colOff>0</xdr:colOff>
      <xdr:row>18</xdr:row>
      <xdr:rowOff>0</xdr:rowOff>
    </xdr:to>
    <xdr:cxnSp macro="">
      <xdr:nvCxnSpPr>
        <xdr:cNvPr id="820" name="OpenSolver259">
          <a:extLst>
            <a:ext uri="{FF2B5EF4-FFF2-40B4-BE49-F238E27FC236}">
              <a16:creationId xmlns:a16="http://schemas.microsoft.com/office/drawing/2014/main" xmlns="" id="{00000000-0008-0000-0200-000034030000}"/>
            </a:ext>
          </a:extLst>
        </xdr:cNvPr>
        <xdr:cNvCxnSpPr>
          <a:stCxn id="818" idx="0"/>
          <a:endCxn id="819" idx="1"/>
        </xdr:cNvCxnSpPr>
      </xdr:nvCxnSpPr>
      <xdr:spPr>
        <a:xfrm flipV="1">
          <a:off x="11887200" y="857250"/>
          <a:ext cx="3749040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571500</xdr:colOff>
      <xdr:row>10</xdr:row>
      <xdr:rowOff>111125</xdr:rowOff>
    </xdr:from>
    <xdr:to>
      <xdr:col>50</xdr:col>
      <xdr:colOff>342900</xdr:colOff>
      <xdr:row>11</xdr:row>
      <xdr:rowOff>174625</xdr:rowOff>
    </xdr:to>
    <xdr:sp macro="" textlink="">
      <xdr:nvSpPr>
        <xdr:cNvPr id="821" name="OpenSolver260">
          <a:extLst>
            <a:ext uri="{FF2B5EF4-FFF2-40B4-BE49-F238E27FC236}">
              <a16:creationId xmlns:a16="http://schemas.microsoft.com/office/drawing/2014/main" xmlns="" id="{00000000-0008-0000-0200-000035030000}"/>
            </a:ext>
          </a:extLst>
        </xdr:cNvPr>
        <xdr:cNvSpPr/>
      </xdr:nvSpPr>
      <xdr:spPr>
        <a:xfrm>
          <a:off x="304419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102</xdr:row>
      <xdr:rowOff>0</xdr:rowOff>
    </xdr:from>
    <xdr:to>
      <xdr:col>20</xdr:col>
      <xdr:colOff>0</xdr:colOff>
      <xdr:row>127</xdr:row>
      <xdr:rowOff>0</xdr:rowOff>
    </xdr:to>
    <xdr:sp macro="" textlink="">
      <xdr:nvSpPr>
        <xdr:cNvPr id="822" name="OpenSolver261">
          <a:extLst>
            <a:ext uri="{FF2B5EF4-FFF2-40B4-BE49-F238E27FC236}">
              <a16:creationId xmlns:a16="http://schemas.microsoft.com/office/drawing/2014/main" xmlns="" id="{00000000-0008-0000-0200-000036030000}"/>
            </a:ext>
          </a:extLst>
        </xdr:cNvPr>
        <xdr:cNvSpPr/>
      </xdr:nvSpPr>
      <xdr:spPr>
        <a:xfrm>
          <a:off x="115824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82</xdr:col>
      <xdr:colOff>0</xdr:colOff>
      <xdr:row>4</xdr:row>
      <xdr:rowOff>0</xdr:rowOff>
    </xdr:from>
    <xdr:to>
      <xdr:col>83</xdr:col>
      <xdr:colOff>0</xdr:colOff>
      <xdr:row>5</xdr:row>
      <xdr:rowOff>0</xdr:rowOff>
    </xdr:to>
    <xdr:sp macro="" textlink="">
      <xdr:nvSpPr>
        <xdr:cNvPr id="823" name="OpenSolver262">
          <a:extLst>
            <a:ext uri="{FF2B5EF4-FFF2-40B4-BE49-F238E27FC236}">
              <a16:creationId xmlns:a16="http://schemas.microsoft.com/office/drawing/2014/main" xmlns="" id="{00000000-0008-0000-0200-000037030000}"/>
            </a:ext>
          </a:extLst>
        </xdr:cNvPr>
        <xdr:cNvSpPr/>
      </xdr:nvSpPr>
      <xdr:spPr>
        <a:xfrm>
          <a:off x="4998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82</xdr:col>
      <xdr:colOff>0</xdr:colOff>
      <xdr:row>102</xdr:row>
      <xdr:rowOff>0</xdr:rowOff>
    </xdr:to>
    <xdr:cxnSp macro="">
      <xdr:nvCxnSpPr>
        <xdr:cNvPr id="824" name="OpenSolver263">
          <a:extLst>
            <a:ext uri="{FF2B5EF4-FFF2-40B4-BE49-F238E27FC236}">
              <a16:creationId xmlns:a16="http://schemas.microsoft.com/office/drawing/2014/main" xmlns="" id="{00000000-0008-0000-0200-000038030000}"/>
            </a:ext>
          </a:extLst>
        </xdr:cNvPr>
        <xdr:cNvCxnSpPr>
          <a:stCxn id="822" idx="0"/>
          <a:endCxn id="823" idx="1"/>
        </xdr:cNvCxnSpPr>
      </xdr:nvCxnSpPr>
      <xdr:spPr>
        <a:xfrm flipV="1">
          <a:off x="11887200" y="857250"/>
          <a:ext cx="38100000" cy="1857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266700</xdr:colOff>
      <xdr:row>52</xdr:row>
      <xdr:rowOff>111125</xdr:rowOff>
    </xdr:from>
    <xdr:to>
      <xdr:col>51</xdr:col>
      <xdr:colOff>38100</xdr:colOff>
      <xdr:row>53</xdr:row>
      <xdr:rowOff>174625</xdr:rowOff>
    </xdr:to>
    <xdr:sp macro="" textlink="">
      <xdr:nvSpPr>
        <xdr:cNvPr id="825" name="OpenSolver264">
          <a:extLst>
            <a:ext uri="{FF2B5EF4-FFF2-40B4-BE49-F238E27FC236}">
              <a16:creationId xmlns:a16="http://schemas.microsoft.com/office/drawing/2014/main" xmlns="" id="{00000000-0008-0000-0200-000039030000}"/>
            </a:ext>
          </a:extLst>
        </xdr:cNvPr>
        <xdr:cNvSpPr/>
      </xdr:nvSpPr>
      <xdr:spPr>
        <a:xfrm>
          <a:off x="307467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127</xdr:row>
      <xdr:rowOff>0</xdr:rowOff>
    </xdr:from>
    <xdr:to>
      <xdr:col>20</xdr:col>
      <xdr:colOff>0</xdr:colOff>
      <xdr:row>135</xdr:row>
      <xdr:rowOff>0</xdr:rowOff>
    </xdr:to>
    <xdr:sp macro="" textlink="">
      <xdr:nvSpPr>
        <xdr:cNvPr id="826" name="OpenSolver265">
          <a:extLst>
            <a:ext uri="{FF2B5EF4-FFF2-40B4-BE49-F238E27FC236}">
              <a16:creationId xmlns:a16="http://schemas.microsoft.com/office/drawing/2014/main" xmlns="" id="{00000000-0008-0000-0200-00003A030000}"/>
            </a:ext>
          </a:extLst>
        </xdr:cNvPr>
        <xdr:cNvSpPr/>
      </xdr:nvSpPr>
      <xdr:spPr>
        <a:xfrm>
          <a:off x="115824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83</xdr:col>
      <xdr:colOff>0</xdr:colOff>
      <xdr:row>4</xdr:row>
      <xdr:rowOff>0</xdr:rowOff>
    </xdr:from>
    <xdr:to>
      <xdr:col>84</xdr:col>
      <xdr:colOff>0</xdr:colOff>
      <xdr:row>5</xdr:row>
      <xdr:rowOff>0</xdr:rowOff>
    </xdr:to>
    <xdr:sp macro="" textlink="">
      <xdr:nvSpPr>
        <xdr:cNvPr id="827" name="OpenSolver266">
          <a:extLst>
            <a:ext uri="{FF2B5EF4-FFF2-40B4-BE49-F238E27FC236}">
              <a16:creationId xmlns:a16="http://schemas.microsoft.com/office/drawing/2014/main" xmlns="" id="{00000000-0008-0000-0200-00003B030000}"/>
            </a:ext>
          </a:extLst>
        </xdr:cNvPr>
        <xdr:cNvSpPr/>
      </xdr:nvSpPr>
      <xdr:spPr>
        <a:xfrm>
          <a:off x="5059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83</xdr:col>
      <xdr:colOff>0</xdr:colOff>
      <xdr:row>127</xdr:row>
      <xdr:rowOff>0</xdr:rowOff>
    </xdr:to>
    <xdr:cxnSp macro="">
      <xdr:nvCxnSpPr>
        <xdr:cNvPr id="828" name="OpenSolver267">
          <a:extLst>
            <a:ext uri="{FF2B5EF4-FFF2-40B4-BE49-F238E27FC236}">
              <a16:creationId xmlns:a16="http://schemas.microsoft.com/office/drawing/2014/main" xmlns="" id="{00000000-0008-0000-0200-00003C030000}"/>
            </a:ext>
          </a:extLst>
        </xdr:cNvPr>
        <xdr:cNvCxnSpPr>
          <a:stCxn id="826" idx="0"/>
          <a:endCxn id="827" idx="1"/>
        </xdr:cNvCxnSpPr>
      </xdr:nvCxnSpPr>
      <xdr:spPr>
        <a:xfrm flipV="1">
          <a:off x="11887200" y="857250"/>
          <a:ext cx="38709600" cy="23336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571500</xdr:colOff>
      <xdr:row>65</xdr:row>
      <xdr:rowOff>15875</xdr:rowOff>
    </xdr:from>
    <xdr:to>
      <xdr:col>51</xdr:col>
      <xdr:colOff>342900</xdr:colOff>
      <xdr:row>66</xdr:row>
      <xdr:rowOff>79375</xdr:rowOff>
    </xdr:to>
    <xdr:sp macro="" textlink="">
      <xdr:nvSpPr>
        <xdr:cNvPr id="829" name="OpenSolver268">
          <a:extLst>
            <a:ext uri="{FF2B5EF4-FFF2-40B4-BE49-F238E27FC236}">
              <a16:creationId xmlns:a16="http://schemas.microsoft.com/office/drawing/2014/main" xmlns="" id="{00000000-0008-0000-0200-00003D030000}"/>
            </a:ext>
          </a:extLst>
        </xdr:cNvPr>
        <xdr:cNvSpPr/>
      </xdr:nvSpPr>
      <xdr:spPr>
        <a:xfrm>
          <a:off x="310515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135</xdr:row>
      <xdr:rowOff>0</xdr:rowOff>
    </xdr:from>
    <xdr:to>
      <xdr:col>20</xdr:col>
      <xdr:colOff>0</xdr:colOff>
      <xdr:row>142</xdr:row>
      <xdr:rowOff>0</xdr:rowOff>
    </xdr:to>
    <xdr:sp macro="" textlink="">
      <xdr:nvSpPr>
        <xdr:cNvPr id="830" name="OpenSolver269">
          <a:extLst>
            <a:ext uri="{FF2B5EF4-FFF2-40B4-BE49-F238E27FC236}">
              <a16:creationId xmlns:a16="http://schemas.microsoft.com/office/drawing/2014/main" xmlns="" id="{00000000-0008-0000-0200-00003E030000}"/>
            </a:ext>
          </a:extLst>
        </xdr:cNvPr>
        <xdr:cNvSpPr/>
      </xdr:nvSpPr>
      <xdr:spPr>
        <a:xfrm>
          <a:off x="115824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84</xdr:col>
      <xdr:colOff>0</xdr:colOff>
      <xdr:row>4</xdr:row>
      <xdr:rowOff>0</xdr:rowOff>
    </xdr:from>
    <xdr:to>
      <xdr:col>85</xdr:col>
      <xdr:colOff>0</xdr:colOff>
      <xdr:row>5</xdr:row>
      <xdr:rowOff>0</xdr:rowOff>
    </xdr:to>
    <xdr:sp macro="" textlink="">
      <xdr:nvSpPr>
        <xdr:cNvPr id="831" name="OpenSolver270">
          <a:extLst>
            <a:ext uri="{FF2B5EF4-FFF2-40B4-BE49-F238E27FC236}">
              <a16:creationId xmlns:a16="http://schemas.microsoft.com/office/drawing/2014/main" xmlns="" id="{00000000-0008-0000-0200-00003F030000}"/>
            </a:ext>
          </a:extLst>
        </xdr:cNvPr>
        <xdr:cNvSpPr/>
      </xdr:nvSpPr>
      <xdr:spPr>
        <a:xfrm>
          <a:off x="5120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84</xdr:col>
      <xdr:colOff>0</xdr:colOff>
      <xdr:row>135</xdr:row>
      <xdr:rowOff>0</xdr:rowOff>
    </xdr:to>
    <xdr:cxnSp macro="">
      <xdr:nvCxnSpPr>
        <xdr:cNvPr id="832" name="OpenSolver271">
          <a:extLst>
            <a:ext uri="{FF2B5EF4-FFF2-40B4-BE49-F238E27FC236}">
              <a16:creationId xmlns:a16="http://schemas.microsoft.com/office/drawing/2014/main" xmlns="" id="{00000000-0008-0000-0200-000040030000}"/>
            </a:ext>
          </a:extLst>
        </xdr:cNvPr>
        <xdr:cNvCxnSpPr>
          <a:stCxn id="830" idx="0"/>
          <a:endCxn id="831" idx="1"/>
        </xdr:cNvCxnSpPr>
      </xdr:nvCxnSpPr>
      <xdr:spPr>
        <a:xfrm flipV="1">
          <a:off x="11887200" y="857250"/>
          <a:ext cx="39319200" cy="24860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266700</xdr:colOff>
      <xdr:row>69</xdr:row>
      <xdr:rowOff>15875</xdr:rowOff>
    </xdr:from>
    <xdr:to>
      <xdr:col>52</xdr:col>
      <xdr:colOff>38100</xdr:colOff>
      <xdr:row>70</xdr:row>
      <xdr:rowOff>79375</xdr:rowOff>
    </xdr:to>
    <xdr:sp macro="" textlink="">
      <xdr:nvSpPr>
        <xdr:cNvPr id="833" name="OpenSolver272">
          <a:extLst>
            <a:ext uri="{FF2B5EF4-FFF2-40B4-BE49-F238E27FC236}">
              <a16:creationId xmlns:a16="http://schemas.microsoft.com/office/drawing/2014/main" xmlns="" id="{00000000-0008-0000-0200-000041030000}"/>
            </a:ext>
          </a:extLst>
        </xdr:cNvPr>
        <xdr:cNvSpPr/>
      </xdr:nvSpPr>
      <xdr:spPr>
        <a:xfrm>
          <a:off x="313563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142</xdr:row>
      <xdr:rowOff>0</xdr:rowOff>
    </xdr:from>
    <xdr:to>
      <xdr:col>20</xdr:col>
      <xdr:colOff>0</xdr:colOff>
      <xdr:row>277</xdr:row>
      <xdr:rowOff>0</xdr:rowOff>
    </xdr:to>
    <xdr:sp macro="" textlink="">
      <xdr:nvSpPr>
        <xdr:cNvPr id="834" name="OpenSolver273">
          <a:extLst>
            <a:ext uri="{FF2B5EF4-FFF2-40B4-BE49-F238E27FC236}">
              <a16:creationId xmlns:a16="http://schemas.microsoft.com/office/drawing/2014/main" xmlns="" id="{00000000-0008-0000-0200-000042030000}"/>
            </a:ext>
          </a:extLst>
        </xdr:cNvPr>
        <xdr:cNvSpPr/>
      </xdr:nvSpPr>
      <xdr:spPr>
        <a:xfrm>
          <a:off x="115824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85</xdr:col>
      <xdr:colOff>0</xdr:colOff>
      <xdr:row>4</xdr:row>
      <xdr:rowOff>0</xdr:rowOff>
    </xdr:from>
    <xdr:to>
      <xdr:col>86</xdr:col>
      <xdr:colOff>0</xdr:colOff>
      <xdr:row>5</xdr:row>
      <xdr:rowOff>0</xdr:rowOff>
    </xdr:to>
    <xdr:sp macro="" textlink="">
      <xdr:nvSpPr>
        <xdr:cNvPr id="835" name="OpenSolver274">
          <a:extLst>
            <a:ext uri="{FF2B5EF4-FFF2-40B4-BE49-F238E27FC236}">
              <a16:creationId xmlns:a16="http://schemas.microsoft.com/office/drawing/2014/main" xmlns="" id="{00000000-0008-0000-0200-000043030000}"/>
            </a:ext>
          </a:extLst>
        </xdr:cNvPr>
        <xdr:cNvSpPr/>
      </xdr:nvSpPr>
      <xdr:spPr>
        <a:xfrm>
          <a:off x="5181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85</xdr:col>
      <xdr:colOff>0</xdr:colOff>
      <xdr:row>142</xdr:row>
      <xdr:rowOff>0</xdr:rowOff>
    </xdr:to>
    <xdr:cxnSp macro="">
      <xdr:nvCxnSpPr>
        <xdr:cNvPr id="836" name="OpenSolver275">
          <a:extLst>
            <a:ext uri="{FF2B5EF4-FFF2-40B4-BE49-F238E27FC236}">
              <a16:creationId xmlns:a16="http://schemas.microsoft.com/office/drawing/2014/main" xmlns="" id="{00000000-0008-0000-0200-000044030000}"/>
            </a:ext>
          </a:extLst>
        </xdr:cNvPr>
        <xdr:cNvCxnSpPr>
          <a:stCxn id="834" idx="0"/>
          <a:endCxn id="835" idx="1"/>
        </xdr:cNvCxnSpPr>
      </xdr:nvCxnSpPr>
      <xdr:spPr>
        <a:xfrm flipV="1">
          <a:off x="11887200" y="857250"/>
          <a:ext cx="39928800" cy="2619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571500</xdr:colOff>
      <xdr:row>72</xdr:row>
      <xdr:rowOff>111125</xdr:rowOff>
    </xdr:from>
    <xdr:to>
      <xdr:col>52</xdr:col>
      <xdr:colOff>342900</xdr:colOff>
      <xdr:row>73</xdr:row>
      <xdr:rowOff>174625</xdr:rowOff>
    </xdr:to>
    <xdr:sp macro="" textlink="">
      <xdr:nvSpPr>
        <xdr:cNvPr id="837" name="OpenSolver276">
          <a:extLst>
            <a:ext uri="{FF2B5EF4-FFF2-40B4-BE49-F238E27FC236}">
              <a16:creationId xmlns:a16="http://schemas.microsoft.com/office/drawing/2014/main" xmlns="" id="{00000000-0008-0000-0200-000045030000}"/>
            </a:ext>
          </a:extLst>
        </xdr:cNvPr>
        <xdr:cNvSpPr/>
      </xdr:nvSpPr>
      <xdr:spPr>
        <a:xfrm>
          <a:off x="316611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277</xdr:row>
      <xdr:rowOff>0</xdr:rowOff>
    </xdr:from>
    <xdr:to>
      <xdr:col>20</xdr:col>
      <xdr:colOff>0</xdr:colOff>
      <xdr:row>304</xdr:row>
      <xdr:rowOff>0</xdr:rowOff>
    </xdr:to>
    <xdr:sp macro="" textlink="">
      <xdr:nvSpPr>
        <xdr:cNvPr id="838" name="OpenSolver277">
          <a:extLst>
            <a:ext uri="{FF2B5EF4-FFF2-40B4-BE49-F238E27FC236}">
              <a16:creationId xmlns:a16="http://schemas.microsoft.com/office/drawing/2014/main" xmlns="" id="{00000000-0008-0000-0200-000046030000}"/>
            </a:ext>
          </a:extLst>
        </xdr:cNvPr>
        <xdr:cNvSpPr/>
      </xdr:nvSpPr>
      <xdr:spPr>
        <a:xfrm>
          <a:off x="115824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86</xdr:col>
      <xdr:colOff>0</xdr:colOff>
      <xdr:row>4</xdr:row>
      <xdr:rowOff>0</xdr:rowOff>
    </xdr:from>
    <xdr:to>
      <xdr:col>87</xdr:col>
      <xdr:colOff>0</xdr:colOff>
      <xdr:row>5</xdr:row>
      <xdr:rowOff>0</xdr:rowOff>
    </xdr:to>
    <xdr:sp macro="" textlink="">
      <xdr:nvSpPr>
        <xdr:cNvPr id="839" name="OpenSolver278">
          <a:extLst>
            <a:ext uri="{FF2B5EF4-FFF2-40B4-BE49-F238E27FC236}">
              <a16:creationId xmlns:a16="http://schemas.microsoft.com/office/drawing/2014/main" xmlns="" id="{00000000-0008-0000-0200-000047030000}"/>
            </a:ext>
          </a:extLst>
        </xdr:cNvPr>
        <xdr:cNvSpPr/>
      </xdr:nvSpPr>
      <xdr:spPr>
        <a:xfrm>
          <a:off x="5242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86</xdr:col>
      <xdr:colOff>0</xdr:colOff>
      <xdr:row>277</xdr:row>
      <xdr:rowOff>0</xdr:rowOff>
    </xdr:to>
    <xdr:cxnSp macro="">
      <xdr:nvCxnSpPr>
        <xdr:cNvPr id="840" name="OpenSolver279">
          <a:extLst>
            <a:ext uri="{FF2B5EF4-FFF2-40B4-BE49-F238E27FC236}">
              <a16:creationId xmlns:a16="http://schemas.microsoft.com/office/drawing/2014/main" xmlns="" id="{00000000-0008-0000-0200-000048030000}"/>
            </a:ext>
          </a:extLst>
        </xdr:cNvPr>
        <xdr:cNvCxnSpPr>
          <a:stCxn id="838" idx="0"/>
          <a:endCxn id="839" idx="1"/>
        </xdr:cNvCxnSpPr>
      </xdr:nvCxnSpPr>
      <xdr:spPr>
        <a:xfrm flipV="1">
          <a:off x="11887200" y="857250"/>
          <a:ext cx="40538400" cy="51911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266700</xdr:colOff>
      <xdr:row>140</xdr:row>
      <xdr:rowOff>15875</xdr:rowOff>
    </xdr:from>
    <xdr:to>
      <xdr:col>53</xdr:col>
      <xdr:colOff>38100</xdr:colOff>
      <xdr:row>141</xdr:row>
      <xdr:rowOff>79375</xdr:rowOff>
    </xdr:to>
    <xdr:sp macro="" textlink="">
      <xdr:nvSpPr>
        <xdr:cNvPr id="841" name="OpenSolver280">
          <a:extLst>
            <a:ext uri="{FF2B5EF4-FFF2-40B4-BE49-F238E27FC236}">
              <a16:creationId xmlns:a16="http://schemas.microsoft.com/office/drawing/2014/main" xmlns="" id="{00000000-0008-0000-0200-000049030000}"/>
            </a:ext>
          </a:extLst>
        </xdr:cNvPr>
        <xdr:cNvSpPr/>
      </xdr:nvSpPr>
      <xdr:spPr>
        <a:xfrm>
          <a:off x="319659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304</xdr:row>
      <xdr:rowOff>0</xdr:rowOff>
    </xdr:from>
    <xdr:to>
      <xdr:col>20</xdr:col>
      <xdr:colOff>0</xdr:colOff>
      <xdr:row>313</xdr:row>
      <xdr:rowOff>0</xdr:rowOff>
    </xdr:to>
    <xdr:sp macro="" textlink="">
      <xdr:nvSpPr>
        <xdr:cNvPr id="842" name="OpenSolver281">
          <a:extLst>
            <a:ext uri="{FF2B5EF4-FFF2-40B4-BE49-F238E27FC236}">
              <a16:creationId xmlns:a16="http://schemas.microsoft.com/office/drawing/2014/main" xmlns="" id="{00000000-0008-0000-0200-00004A030000}"/>
            </a:ext>
          </a:extLst>
        </xdr:cNvPr>
        <xdr:cNvSpPr/>
      </xdr:nvSpPr>
      <xdr:spPr>
        <a:xfrm>
          <a:off x="115824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87</xdr:col>
      <xdr:colOff>0</xdr:colOff>
      <xdr:row>4</xdr:row>
      <xdr:rowOff>0</xdr:rowOff>
    </xdr:from>
    <xdr:to>
      <xdr:col>88</xdr:col>
      <xdr:colOff>0</xdr:colOff>
      <xdr:row>5</xdr:row>
      <xdr:rowOff>0</xdr:rowOff>
    </xdr:to>
    <xdr:sp macro="" textlink="">
      <xdr:nvSpPr>
        <xdr:cNvPr id="843" name="OpenSolver282">
          <a:extLst>
            <a:ext uri="{FF2B5EF4-FFF2-40B4-BE49-F238E27FC236}">
              <a16:creationId xmlns:a16="http://schemas.microsoft.com/office/drawing/2014/main" xmlns="" id="{00000000-0008-0000-0200-00004B030000}"/>
            </a:ext>
          </a:extLst>
        </xdr:cNvPr>
        <xdr:cNvSpPr/>
      </xdr:nvSpPr>
      <xdr:spPr>
        <a:xfrm>
          <a:off x="5303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19</xdr:col>
      <xdr:colOff>304800</xdr:colOff>
      <xdr:row>4</xdr:row>
      <xdr:rowOff>95250</xdr:rowOff>
    </xdr:from>
    <xdr:to>
      <xdr:col>87</xdr:col>
      <xdr:colOff>0</xdr:colOff>
      <xdr:row>304</xdr:row>
      <xdr:rowOff>0</xdr:rowOff>
    </xdr:to>
    <xdr:cxnSp macro="">
      <xdr:nvCxnSpPr>
        <xdr:cNvPr id="844" name="OpenSolver283">
          <a:extLst>
            <a:ext uri="{FF2B5EF4-FFF2-40B4-BE49-F238E27FC236}">
              <a16:creationId xmlns:a16="http://schemas.microsoft.com/office/drawing/2014/main" xmlns="" id="{00000000-0008-0000-0200-00004C030000}"/>
            </a:ext>
          </a:extLst>
        </xdr:cNvPr>
        <xdr:cNvCxnSpPr>
          <a:stCxn id="842" idx="0"/>
          <a:endCxn id="843" idx="1"/>
        </xdr:cNvCxnSpPr>
      </xdr:nvCxnSpPr>
      <xdr:spPr>
        <a:xfrm flipV="1">
          <a:off x="11887200" y="857250"/>
          <a:ext cx="41148000" cy="57054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571500</xdr:colOff>
      <xdr:row>153</xdr:row>
      <xdr:rowOff>111125</xdr:rowOff>
    </xdr:from>
    <xdr:to>
      <xdr:col>53</xdr:col>
      <xdr:colOff>342900</xdr:colOff>
      <xdr:row>154</xdr:row>
      <xdr:rowOff>174625</xdr:rowOff>
    </xdr:to>
    <xdr:sp macro="" textlink="">
      <xdr:nvSpPr>
        <xdr:cNvPr id="845" name="OpenSolver284">
          <a:extLst>
            <a:ext uri="{FF2B5EF4-FFF2-40B4-BE49-F238E27FC236}">
              <a16:creationId xmlns:a16="http://schemas.microsoft.com/office/drawing/2014/main" xmlns="" id="{00000000-0008-0000-0200-00004D030000}"/>
            </a:ext>
          </a:extLst>
        </xdr:cNvPr>
        <xdr:cNvSpPr/>
      </xdr:nvSpPr>
      <xdr:spPr>
        <a:xfrm>
          <a:off x="322707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313</xdr:row>
      <xdr:rowOff>0</xdr:rowOff>
    </xdr:from>
    <xdr:to>
      <xdr:col>20</xdr:col>
      <xdr:colOff>0</xdr:colOff>
      <xdr:row>315</xdr:row>
      <xdr:rowOff>0</xdr:rowOff>
    </xdr:to>
    <xdr:sp macro="" textlink="">
      <xdr:nvSpPr>
        <xdr:cNvPr id="846" name="OpenSolver285">
          <a:extLst>
            <a:ext uri="{FF2B5EF4-FFF2-40B4-BE49-F238E27FC236}">
              <a16:creationId xmlns:a16="http://schemas.microsoft.com/office/drawing/2014/main" xmlns="" id="{00000000-0008-0000-0200-00004E030000}"/>
            </a:ext>
          </a:extLst>
        </xdr:cNvPr>
        <xdr:cNvSpPr/>
      </xdr:nvSpPr>
      <xdr:spPr>
        <a:xfrm>
          <a:off x="115824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88</xdr:col>
      <xdr:colOff>0</xdr:colOff>
      <xdr:row>4</xdr:row>
      <xdr:rowOff>0</xdr:rowOff>
    </xdr:from>
    <xdr:to>
      <xdr:col>89</xdr:col>
      <xdr:colOff>0</xdr:colOff>
      <xdr:row>5</xdr:row>
      <xdr:rowOff>0</xdr:rowOff>
    </xdr:to>
    <xdr:sp macro="" textlink="">
      <xdr:nvSpPr>
        <xdr:cNvPr id="847" name="OpenSolver286">
          <a:extLst>
            <a:ext uri="{FF2B5EF4-FFF2-40B4-BE49-F238E27FC236}">
              <a16:creationId xmlns:a16="http://schemas.microsoft.com/office/drawing/2014/main" xmlns="" id="{00000000-0008-0000-0200-00004F030000}"/>
            </a:ext>
          </a:extLst>
        </xdr:cNvPr>
        <xdr:cNvSpPr/>
      </xdr:nvSpPr>
      <xdr:spPr>
        <a:xfrm>
          <a:off x="5364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20</xdr:col>
      <xdr:colOff>0</xdr:colOff>
      <xdr:row>4</xdr:row>
      <xdr:rowOff>95250</xdr:rowOff>
    </xdr:from>
    <xdr:to>
      <xdr:col>88</xdr:col>
      <xdr:colOff>0</xdr:colOff>
      <xdr:row>314</xdr:row>
      <xdr:rowOff>0</xdr:rowOff>
    </xdr:to>
    <xdr:cxnSp macro="">
      <xdr:nvCxnSpPr>
        <xdr:cNvPr id="848" name="OpenSolver287">
          <a:extLst>
            <a:ext uri="{FF2B5EF4-FFF2-40B4-BE49-F238E27FC236}">
              <a16:creationId xmlns:a16="http://schemas.microsoft.com/office/drawing/2014/main" xmlns="" id="{00000000-0008-0000-0200-000050030000}"/>
            </a:ext>
          </a:extLst>
        </xdr:cNvPr>
        <xdr:cNvCxnSpPr>
          <a:stCxn id="846" idx="3"/>
          <a:endCxn id="847" idx="1"/>
        </xdr:cNvCxnSpPr>
      </xdr:nvCxnSpPr>
      <xdr:spPr>
        <a:xfrm flipV="1">
          <a:off x="12192000" y="857250"/>
          <a:ext cx="41452800" cy="58959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419100</xdr:colOff>
      <xdr:row>158</xdr:row>
      <xdr:rowOff>111125</xdr:rowOff>
    </xdr:from>
    <xdr:to>
      <xdr:col>54</xdr:col>
      <xdr:colOff>190500</xdr:colOff>
      <xdr:row>159</xdr:row>
      <xdr:rowOff>174625</xdr:rowOff>
    </xdr:to>
    <xdr:sp macro="" textlink="">
      <xdr:nvSpPr>
        <xdr:cNvPr id="849" name="OpenSolver288">
          <a:extLst>
            <a:ext uri="{FF2B5EF4-FFF2-40B4-BE49-F238E27FC236}">
              <a16:creationId xmlns:a16="http://schemas.microsoft.com/office/drawing/2014/main" xmlns="" id="{00000000-0008-0000-0200-000051030000}"/>
            </a:ext>
          </a:extLst>
        </xdr:cNvPr>
        <xdr:cNvSpPr/>
      </xdr:nvSpPr>
      <xdr:spPr>
        <a:xfrm>
          <a:off x="327279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0</xdr:colOff>
      <xdr:row>315</xdr:row>
      <xdr:rowOff>0</xdr:rowOff>
    </xdr:from>
    <xdr:to>
      <xdr:col>20</xdr:col>
      <xdr:colOff>0</xdr:colOff>
      <xdr:row>317</xdr:row>
      <xdr:rowOff>0</xdr:rowOff>
    </xdr:to>
    <xdr:sp macro="" textlink="">
      <xdr:nvSpPr>
        <xdr:cNvPr id="850" name="OpenSolver289">
          <a:extLst>
            <a:ext uri="{FF2B5EF4-FFF2-40B4-BE49-F238E27FC236}">
              <a16:creationId xmlns:a16="http://schemas.microsoft.com/office/drawing/2014/main" xmlns="" id="{00000000-0008-0000-0200-000052030000}"/>
            </a:ext>
          </a:extLst>
        </xdr:cNvPr>
        <xdr:cNvSpPr/>
      </xdr:nvSpPr>
      <xdr:spPr>
        <a:xfrm>
          <a:off x="115824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89</xdr:col>
      <xdr:colOff>0</xdr:colOff>
      <xdr:row>4</xdr:row>
      <xdr:rowOff>0</xdr:rowOff>
    </xdr:from>
    <xdr:to>
      <xdr:col>90</xdr:col>
      <xdr:colOff>0</xdr:colOff>
      <xdr:row>5</xdr:row>
      <xdr:rowOff>0</xdr:rowOff>
    </xdr:to>
    <xdr:sp macro="" textlink="">
      <xdr:nvSpPr>
        <xdr:cNvPr id="851" name="OpenSolver290">
          <a:extLst>
            <a:ext uri="{FF2B5EF4-FFF2-40B4-BE49-F238E27FC236}">
              <a16:creationId xmlns:a16="http://schemas.microsoft.com/office/drawing/2014/main" xmlns="" id="{00000000-0008-0000-0200-000053030000}"/>
            </a:ext>
          </a:extLst>
        </xdr:cNvPr>
        <xdr:cNvSpPr/>
      </xdr:nvSpPr>
      <xdr:spPr>
        <a:xfrm>
          <a:off x="5425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20</xdr:col>
      <xdr:colOff>0</xdr:colOff>
      <xdr:row>4</xdr:row>
      <xdr:rowOff>95250</xdr:rowOff>
    </xdr:from>
    <xdr:to>
      <xdr:col>89</xdr:col>
      <xdr:colOff>0</xdr:colOff>
      <xdr:row>316</xdr:row>
      <xdr:rowOff>0</xdr:rowOff>
    </xdr:to>
    <xdr:cxnSp macro="">
      <xdr:nvCxnSpPr>
        <xdr:cNvPr id="852" name="OpenSolver291">
          <a:extLst>
            <a:ext uri="{FF2B5EF4-FFF2-40B4-BE49-F238E27FC236}">
              <a16:creationId xmlns:a16="http://schemas.microsoft.com/office/drawing/2014/main" xmlns="" id="{00000000-0008-0000-0200-000054030000}"/>
            </a:ext>
          </a:extLst>
        </xdr:cNvPr>
        <xdr:cNvCxnSpPr>
          <a:stCxn id="850" idx="3"/>
          <a:endCxn id="851" idx="1"/>
        </xdr:cNvCxnSpPr>
      </xdr:nvCxnSpPr>
      <xdr:spPr>
        <a:xfrm flipV="1">
          <a:off x="12192000" y="857250"/>
          <a:ext cx="42062400" cy="59340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114300</xdr:colOff>
      <xdr:row>159</xdr:row>
      <xdr:rowOff>111125</xdr:rowOff>
    </xdr:from>
    <xdr:to>
      <xdr:col>54</xdr:col>
      <xdr:colOff>495300</xdr:colOff>
      <xdr:row>160</xdr:row>
      <xdr:rowOff>174625</xdr:rowOff>
    </xdr:to>
    <xdr:sp macro="" textlink="">
      <xdr:nvSpPr>
        <xdr:cNvPr id="853" name="OpenSolver292">
          <a:extLst>
            <a:ext uri="{FF2B5EF4-FFF2-40B4-BE49-F238E27FC236}">
              <a16:creationId xmlns:a16="http://schemas.microsoft.com/office/drawing/2014/main" xmlns="" id="{00000000-0008-0000-0200-000055030000}"/>
            </a:ext>
          </a:extLst>
        </xdr:cNvPr>
        <xdr:cNvSpPr/>
      </xdr:nvSpPr>
      <xdr:spPr>
        <a:xfrm>
          <a:off x="330327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18</xdr:row>
      <xdr:rowOff>0</xdr:rowOff>
    </xdr:from>
    <xdr:to>
      <xdr:col>22</xdr:col>
      <xdr:colOff>0</xdr:colOff>
      <xdr:row>102</xdr:row>
      <xdr:rowOff>0</xdr:rowOff>
    </xdr:to>
    <xdr:sp macro="" textlink="">
      <xdr:nvSpPr>
        <xdr:cNvPr id="854" name="OpenSolver293">
          <a:extLst>
            <a:ext uri="{FF2B5EF4-FFF2-40B4-BE49-F238E27FC236}">
              <a16:creationId xmlns:a16="http://schemas.microsoft.com/office/drawing/2014/main" xmlns="" id="{00000000-0008-0000-0200-000056030000}"/>
            </a:ext>
          </a:extLst>
        </xdr:cNvPr>
        <xdr:cNvSpPr/>
      </xdr:nvSpPr>
      <xdr:spPr>
        <a:xfrm>
          <a:off x="12801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90</xdr:col>
      <xdr:colOff>0</xdr:colOff>
      <xdr:row>4</xdr:row>
      <xdr:rowOff>0</xdr:rowOff>
    </xdr:from>
    <xdr:to>
      <xdr:col>91</xdr:col>
      <xdr:colOff>0</xdr:colOff>
      <xdr:row>5</xdr:row>
      <xdr:rowOff>0</xdr:rowOff>
    </xdr:to>
    <xdr:sp macro="" textlink="">
      <xdr:nvSpPr>
        <xdr:cNvPr id="855" name="OpenSolver294">
          <a:extLst>
            <a:ext uri="{FF2B5EF4-FFF2-40B4-BE49-F238E27FC236}">
              <a16:creationId xmlns:a16="http://schemas.microsoft.com/office/drawing/2014/main" xmlns="" id="{00000000-0008-0000-0200-000057030000}"/>
            </a:ext>
          </a:extLst>
        </xdr:cNvPr>
        <xdr:cNvSpPr/>
      </xdr:nvSpPr>
      <xdr:spPr>
        <a:xfrm>
          <a:off x="5486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90</xdr:col>
      <xdr:colOff>0</xdr:colOff>
      <xdr:row>18</xdr:row>
      <xdr:rowOff>0</xdr:rowOff>
    </xdr:to>
    <xdr:cxnSp macro="">
      <xdr:nvCxnSpPr>
        <xdr:cNvPr id="856" name="OpenSolver295">
          <a:extLst>
            <a:ext uri="{FF2B5EF4-FFF2-40B4-BE49-F238E27FC236}">
              <a16:creationId xmlns:a16="http://schemas.microsoft.com/office/drawing/2014/main" xmlns="" id="{00000000-0008-0000-0200-000058030000}"/>
            </a:ext>
          </a:extLst>
        </xdr:cNvPr>
        <xdr:cNvCxnSpPr>
          <a:stCxn id="854" idx="0"/>
          <a:endCxn id="855" idx="1"/>
        </xdr:cNvCxnSpPr>
      </xdr:nvCxnSpPr>
      <xdr:spPr>
        <a:xfrm flipV="1">
          <a:off x="13106400" y="857250"/>
          <a:ext cx="41757600" cy="2571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266700</xdr:colOff>
      <xdr:row>10</xdr:row>
      <xdr:rowOff>111125</xdr:rowOff>
    </xdr:from>
    <xdr:to>
      <xdr:col>56</xdr:col>
      <xdr:colOff>38100</xdr:colOff>
      <xdr:row>11</xdr:row>
      <xdr:rowOff>174625</xdr:rowOff>
    </xdr:to>
    <xdr:sp macro="" textlink="">
      <xdr:nvSpPr>
        <xdr:cNvPr id="857" name="OpenSolver296">
          <a:extLst>
            <a:ext uri="{FF2B5EF4-FFF2-40B4-BE49-F238E27FC236}">
              <a16:creationId xmlns:a16="http://schemas.microsoft.com/office/drawing/2014/main" xmlns="" id="{00000000-0008-0000-0200-000059030000}"/>
            </a:ext>
          </a:extLst>
        </xdr:cNvPr>
        <xdr:cNvSpPr/>
      </xdr:nvSpPr>
      <xdr:spPr>
        <a:xfrm>
          <a:off x="33794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102</xdr:row>
      <xdr:rowOff>0</xdr:rowOff>
    </xdr:from>
    <xdr:to>
      <xdr:col>22</xdr:col>
      <xdr:colOff>0</xdr:colOff>
      <xdr:row>127</xdr:row>
      <xdr:rowOff>0</xdr:rowOff>
    </xdr:to>
    <xdr:sp macro="" textlink="">
      <xdr:nvSpPr>
        <xdr:cNvPr id="858" name="OpenSolver297">
          <a:extLst>
            <a:ext uri="{FF2B5EF4-FFF2-40B4-BE49-F238E27FC236}">
              <a16:creationId xmlns:a16="http://schemas.microsoft.com/office/drawing/2014/main" xmlns="" id="{00000000-0008-0000-0200-00005A030000}"/>
            </a:ext>
          </a:extLst>
        </xdr:cNvPr>
        <xdr:cNvSpPr/>
      </xdr:nvSpPr>
      <xdr:spPr>
        <a:xfrm>
          <a:off x="12801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91</xdr:col>
      <xdr:colOff>0</xdr:colOff>
      <xdr:row>4</xdr:row>
      <xdr:rowOff>0</xdr:rowOff>
    </xdr:from>
    <xdr:to>
      <xdr:col>92</xdr:col>
      <xdr:colOff>0</xdr:colOff>
      <xdr:row>5</xdr:row>
      <xdr:rowOff>0</xdr:rowOff>
    </xdr:to>
    <xdr:sp macro="" textlink="">
      <xdr:nvSpPr>
        <xdr:cNvPr id="859" name="OpenSolver298">
          <a:extLst>
            <a:ext uri="{FF2B5EF4-FFF2-40B4-BE49-F238E27FC236}">
              <a16:creationId xmlns:a16="http://schemas.microsoft.com/office/drawing/2014/main" xmlns="" id="{00000000-0008-0000-0200-00005B030000}"/>
            </a:ext>
          </a:extLst>
        </xdr:cNvPr>
        <xdr:cNvSpPr/>
      </xdr:nvSpPr>
      <xdr:spPr>
        <a:xfrm>
          <a:off x="5547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91</xdr:col>
      <xdr:colOff>0</xdr:colOff>
      <xdr:row>102</xdr:row>
      <xdr:rowOff>0</xdr:rowOff>
    </xdr:to>
    <xdr:cxnSp macro="">
      <xdr:nvCxnSpPr>
        <xdr:cNvPr id="860" name="OpenSolver299">
          <a:extLst>
            <a:ext uri="{FF2B5EF4-FFF2-40B4-BE49-F238E27FC236}">
              <a16:creationId xmlns:a16="http://schemas.microsoft.com/office/drawing/2014/main" xmlns="" id="{00000000-0008-0000-0200-00005C030000}"/>
            </a:ext>
          </a:extLst>
        </xdr:cNvPr>
        <xdr:cNvCxnSpPr>
          <a:stCxn id="858" idx="0"/>
          <a:endCxn id="859" idx="1"/>
        </xdr:cNvCxnSpPr>
      </xdr:nvCxnSpPr>
      <xdr:spPr>
        <a:xfrm flipV="1">
          <a:off x="13106400" y="857250"/>
          <a:ext cx="42367200" cy="1857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571500</xdr:colOff>
      <xdr:row>52</xdr:row>
      <xdr:rowOff>111125</xdr:rowOff>
    </xdr:from>
    <xdr:to>
      <xdr:col>56</xdr:col>
      <xdr:colOff>342900</xdr:colOff>
      <xdr:row>53</xdr:row>
      <xdr:rowOff>174625</xdr:rowOff>
    </xdr:to>
    <xdr:sp macro="" textlink="">
      <xdr:nvSpPr>
        <xdr:cNvPr id="861" name="OpenSolver300">
          <a:extLst>
            <a:ext uri="{FF2B5EF4-FFF2-40B4-BE49-F238E27FC236}">
              <a16:creationId xmlns:a16="http://schemas.microsoft.com/office/drawing/2014/main" xmlns="" id="{00000000-0008-0000-0200-00005D030000}"/>
            </a:ext>
          </a:extLst>
        </xdr:cNvPr>
        <xdr:cNvSpPr/>
      </xdr:nvSpPr>
      <xdr:spPr>
        <a:xfrm>
          <a:off x="34099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127</xdr:row>
      <xdr:rowOff>0</xdr:rowOff>
    </xdr:from>
    <xdr:to>
      <xdr:col>22</xdr:col>
      <xdr:colOff>0</xdr:colOff>
      <xdr:row>135</xdr:row>
      <xdr:rowOff>0</xdr:rowOff>
    </xdr:to>
    <xdr:sp macro="" textlink="">
      <xdr:nvSpPr>
        <xdr:cNvPr id="862" name="OpenSolver301">
          <a:extLst>
            <a:ext uri="{FF2B5EF4-FFF2-40B4-BE49-F238E27FC236}">
              <a16:creationId xmlns:a16="http://schemas.microsoft.com/office/drawing/2014/main" xmlns="" id="{00000000-0008-0000-0200-00005E030000}"/>
            </a:ext>
          </a:extLst>
        </xdr:cNvPr>
        <xdr:cNvSpPr/>
      </xdr:nvSpPr>
      <xdr:spPr>
        <a:xfrm>
          <a:off x="12801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92</xdr:col>
      <xdr:colOff>0</xdr:colOff>
      <xdr:row>4</xdr:row>
      <xdr:rowOff>0</xdr:rowOff>
    </xdr:from>
    <xdr:to>
      <xdr:col>93</xdr:col>
      <xdr:colOff>0</xdr:colOff>
      <xdr:row>5</xdr:row>
      <xdr:rowOff>0</xdr:rowOff>
    </xdr:to>
    <xdr:sp macro="" textlink="">
      <xdr:nvSpPr>
        <xdr:cNvPr id="863" name="OpenSolver302">
          <a:extLst>
            <a:ext uri="{FF2B5EF4-FFF2-40B4-BE49-F238E27FC236}">
              <a16:creationId xmlns:a16="http://schemas.microsoft.com/office/drawing/2014/main" xmlns="" id="{00000000-0008-0000-0200-00005F030000}"/>
            </a:ext>
          </a:extLst>
        </xdr:cNvPr>
        <xdr:cNvSpPr/>
      </xdr:nvSpPr>
      <xdr:spPr>
        <a:xfrm>
          <a:off x="5608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92</xdr:col>
      <xdr:colOff>0</xdr:colOff>
      <xdr:row>127</xdr:row>
      <xdr:rowOff>0</xdr:rowOff>
    </xdr:to>
    <xdr:cxnSp macro="">
      <xdr:nvCxnSpPr>
        <xdr:cNvPr id="864" name="OpenSolver303">
          <a:extLst>
            <a:ext uri="{FF2B5EF4-FFF2-40B4-BE49-F238E27FC236}">
              <a16:creationId xmlns:a16="http://schemas.microsoft.com/office/drawing/2014/main" xmlns="" id="{00000000-0008-0000-0200-000060030000}"/>
            </a:ext>
          </a:extLst>
        </xdr:cNvPr>
        <xdr:cNvCxnSpPr>
          <a:stCxn id="862" idx="0"/>
          <a:endCxn id="863" idx="1"/>
        </xdr:cNvCxnSpPr>
      </xdr:nvCxnSpPr>
      <xdr:spPr>
        <a:xfrm flipV="1">
          <a:off x="13106400" y="857250"/>
          <a:ext cx="42976800" cy="23336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266700</xdr:colOff>
      <xdr:row>65</xdr:row>
      <xdr:rowOff>15875</xdr:rowOff>
    </xdr:from>
    <xdr:to>
      <xdr:col>57</xdr:col>
      <xdr:colOff>38100</xdr:colOff>
      <xdr:row>66</xdr:row>
      <xdr:rowOff>79375</xdr:rowOff>
    </xdr:to>
    <xdr:sp macro="" textlink="">
      <xdr:nvSpPr>
        <xdr:cNvPr id="865" name="OpenSolver304">
          <a:extLst>
            <a:ext uri="{FF2B5EF4-FFF2-40B4-BE49-F238E27FC236}">
              <a16:creationId xmlns:a16="http://schemas.microsoft.com/office/drawing/2014/main" xmlns="" id="{00000000-0008-0000-0200-000061030000}"/>
            </a:ext>
          </a:extLst>
        </xdr:cNvPr>
        <xdr:cNvSpPr/>
      </xdr:nvSpPr>
      <xdr:spPr>
        <a:xfrm>
          <a:off x="344043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135</xdr:row>
      <xdr:rowOff>0</xdr:rowOff>
    </xdr:from>
    <xdr:to>
      <xdr:col>22</xdr:col>
      <xdr:colOff>0</xdr:colOff>
      <xdr:row>142</xdr:row>
      <xdr:rowOff>0</xdr:rowOff>
    </xdr:to>
    <xdr:sp macro="" textlink="">
      <xdr:nvSpPr>
        <xdr:cNvPr id="866" name="OpenSolver305">
          <a:extLst>
            <a:ext uri="{FF2B5EF4-FFF2-40B4-BE49-F238E27FC236}">
              <a16:creationId xmlns:a16="http://schemas.microsoft.com/office/drawing/2014/main" xmlns="" id="{00000000-0008-0000-0200-000062030000}"/>
            </a:ext>
          </a:extLst>
        </xdr:cNvPr>
        <xdr:cNvSpPr/>
      </xdr:nvSpPr>
      <xdr:spPr>
        <a:xfrm>
          <a:off x="12801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93</xdr:col>
      <xdr:colOff>0</xdr:colOff>
      <xdr:row>4</xdr:row>
      <xdr:rowOff>0</xdr:rowOff>
    </xdr:from>
    <xdr:to>
      <xdr:col>94</xdr:col>
      <xdr:colOff>0</xdr:colOff>
      <xdr:row>5</xdr:row>
      <xdr:rowOff>0</xdr:rowOff>
    </xdr:to>
    <xdr:sp macro="" textlink="">
      <xdr:nvSpPr>
        <xdr:cNvPr id="867" name="OpenSolver306">
          <a:extLst>
            <a:ext uri="{FF2B5EF4-FFF2-40B4-BE49-F238E27FC236}">
              <a16:creationId xmlns:a16="http://schemas.microsoft.com/office/drawing/2014/main" xmlns="" id="{00000000-0008-0000-0200-000063030000}"/>
            </a:ext>
          </a:extLst>
        </xdr:cNvPr>
        <xdr:cNvSpPr/>
      </xdr:nvSpPr>
      <xdr:spPr>
        <a:xfrm>
          <a:off x="5669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93</xdr:col>
      <xdr:colOff>0</xdr:colOff>
      <xdr:row>135</xdr:row>
      <xdr:rowOff>0</xdr:rowOff>
    </xdr:to>
    <xdr:cxnSp macro="">
      <xdr:nvCxnSpPr>
        <xdr:cNvPr id="868" name="OpenSolver307">
          <a:extLst>
            <a:ext uri="{FF2B5EF4-FFF2-40B4-BE49-F238E27FC236}">
              <a16:creationId xmlns:a16="http://schemas.microsoft.com/office/drawing/2014/main" xmlns="" id="{00000000-0008-0000-0200-000064030000}"/>
            </a:ext>
          </a:extLst>
        </xdr:cNvPr>
        <xdr:cNvCxnSpPr>
          <a:stCxn id="866" idx="0"/>
          <a:endCxn id="867" idx="1"/>
        </xdr:cNvCxnSpPr>
      </xdr:nvCxnSpPr>
      <xdr:spPr>
        <a:xfrm flipV="1">
          <a:off x="13106400" y="857250"/>
          <a:ext cx="43586400" cy="24860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571500</xdr:colOff>
      <xdr:row>69</xdr:row>
      <xdr:rowOff>15875</xdr:rowOff>
    </xdr:from>
    <xdr:to>
      <xdr:col>57</xdr:col>
      <xdr:colOff>342900</xdr:colOff>
      <xdr:row>70</xdr:row>
      <xdr:rowOff>79375</xdr:rowOff>
    </xdr:to>
    <xdr:sp macro="" textlink="">
      <xdr:nvSpPr>
        <xdr:cNvPr id="869" name="OpenSolver308">
          <a:extLst>
            <a:ext uri="{FF2B5EF4-FFF2-40B4-BE49-F238E27FC236}">
              <a16:creationId xmlns:a16="http://schemas.microsoft.com/office/drawing/2014/main" xmlns="" id="{00000000-0008-0000-0200-000065030000}"/>
            </a:ext>
          </a:extLst>
        </xdr:cNvPr>
        <xdr:cNvSpPr/>
      </xdr:nvSpPr>
      <xdr:spPr>
        <a:xfrm>
          <a:off x="34709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142</xdr:row>
      <xdr:rowOff>0</xdr:rowOff>
    </xdr:from>
    <xdr:to>
      <xdr:col>22</xdr:col>
      <xdr:colOff>0</xdr:colOff>
      <xdr:row>277</xdr:row>
      <xdr:rowOff>0</xdr:rowOff>
    </xdr:to>
    <xdr:sp macro="" textlink="">
      <xdr:nvSpPr>
        <xdr:cNvPr id="870" name="OpenSolver309">
          <a:extLst>
            <a:ext uri="{FF2B5EF4-FFF2-40B4-BE49-F238E27FC236}">
              <a16:creationId xmlns:a16="http://schemas.microsoft.com/office/drawing/2014/main" xmlns="" id="{00000000-0008-0000-0200-000066030000}"/>
            </a:ext>
          </a:extLst>
        </xdr:cNvPr>
        <xdr:cNvSpPr/>
      </xdr:nvSpPr>
      <xdr:spPr>
        <a:xfrm>
          <a:off x="12801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94</xdr:col>
      <xdr:colOff>0</xdr:colOff>
      <xdr:row>4</xdr:row>
      <xdr:rowOff>0</xdr:rowOff>
    </xdr:from>
    <xdr:to>
      <xdr:col>95</xdr:col>
      <xdr:colOff>0</xdr:colOff>
      <xdr:row>5</xdr:row>
      <xdr:rowOff>0</xdr:rowOff>
    </xdr:to>
    <xdr:sp macro="" textlink="">
      <xdr:nvSpPr>
        <xdr:cNvPr id="871" name="OpenSolver310">
          <a:extLst>
            <a:ext uri="{FF2B5EF4-FFF2-40B4-BE49-F238E27FC236}">
              <a16:creationId xmlns:a16="http://schemas.microsoft.com/office/drawing/2014/main" xmlns="" id="{00000000-0008-0000-0200-000067030000}"/>
            </a:ext>
          </a:extLst>
        </xdr:cNvPr>
        <xdr:cNvSpPr/>
      </xdr:nvSpPr>
      <xdr:spPr>
        <a:xfrm>
          <a:off x="5730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94</xdr:col>
      <xdr:colOff>0</xdr:colOff>
      <xdr:row>142</xdr:row>
      <xdr:rowOff>0</xdr:rowOff>
    </xdr:to>
    <xdr:cxnSp macro="">
      <xdr:nvCxnSpPr>
        <xdr:cNvPr id="872" name="OpenSolver311">
          <a:extLst>
            <a:ext uri="{FF2B5EF4-FFF2-40B4-BE49-F238E27FC236}">
              <a16:creationId xmlns:a16="http://schemas.microsoft.com/office/drawing/2014/main" xmlns="" id="{00000000-0008-0000-0200-000068030000}"/>
            </a:ext>
          </a:extLst>
        </xdr:cNvPr>
        <xdr:cNvCxnSpPr>
          <a:stCxn id="870" idx="0"/>
          <a:endCxn id="871" idx="1"/>
        </xdr:cNvCxnSpPr>
      </xdr:nvCxnSpPr>
      <xdr:spPr>
        <a:xfrm flipV="1">
          <a:off x="13106400" y="857250"/>
          <a:ext cx="44196000" cy="2619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266700</xdr:colOff>
      <xdr:row>72</xdr:row>
      <xdr:rowOff>111125</xdr:rowOff>
    </xdr:from>
    <xdr:to>
      <xdr:col>58</xdr:col>
      <xdr:colOff>38100</xdr:colOff>
      <xdr:row>73</xdr:row>
      <xdr:rowOff>174625</xdr:rowOff>
    </xdr:to>
    <xdr:sp macro="" textlink="">
      <xdr:nvSpPr>
        <xdr:cNvPr id="873" name="OpenSolver312">
          <a:extLst>
            <a:ext uri="{FF2B5EF4-FFF2-40B4-BE49-F238E27FC236}">
              <a16:creationId xmlns:a16="http://schemas.microsoft.com/office/drawing/2014/main" xmlns="" id="{00000000-0008-0000-0200-000069030000}"/>
            </a:ext>
          </a:extLst>
        </xdr:cNvPr>
        <xdr:cNvSpPr/>
      </xdr:nvSpPr>
      <xdr:spPr>
        <a:xfrm>
          <a:off x="35013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0</xdr:colOff>
      <xdr:row>304</xdr:row>
      <xdr:rowOff>0</xdr:rowOff>
    </xdr:to>
    <xdr:sp macro="" textlink="">
      <xdr:nvSpPr>
        <xdr:cNvPr id="874" name="OpenSolver313">
          <a:extLst>
            <a:ext uri="{FF2B5EF4-FFF2-40B4-BE49-F238E27FC236}">
              <a16:creationId xmlns:a16="http://schemas.microsoft.com/office/drawing/2014/main" xmlns="" id="{00000000-0008-0000-0200-00006A030000}"/>
            </a:ext>
          </a:extLst>
        </xdr:cNvPr>
        <xdr:cNvSpPr/>
      </xdr:nvSpPr>
      <xdr:spPr>
        <a:xfrm>
          <a:off x="12801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95</xdr:col>
      <xdr:colOff>0</xdr:colOff>
      <xdr:row>4</xdr:row>
      <xdr:rowOff>0</xdr:rowOff>
    </xdr:from>
    <xdr:to>
      <xdr:col>96</xdr:col>
      <xdr:colOff>0</xdr:colOff>
      <xdr:row>5</xdr:row>
      <xdr:rowOff>0</xdr:rowOff>
    </xdr:to>
    <xdr:sp macro="" textlink="">
      <xdr:nvSpPr>
        <xdr:cNvPr id="875" name="OpenSolver314">
          <a:extLst>
            <a:ext uri="{FF2B5EF4-FFF2-40B4-BE49-F238E27FC236}">
              <a16:creationId xmlns:a16="http://schemas.microsoft.com/office/drawing/2014/main" xmlns="" id="{00000000-0008-0000-0200-00006B030000}"/>
            </a:ext>
          </a:extLst>
        </xdr:cNvPr>
        <xdr:cNvSpPr/>
      </xdr:nvSpPr>
      <xdr:spPr>
        <a:xfrm>
          <a:off x="5791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95</xdr:col>
      <xdr:colOff>0</xdr:colOff>
      <xdr:row>277</xdr:row>
      <xdr:rowOff>0</xdr:rowOff>
    </xdr:to>
    <xdr:cxnSp macro="">
      <xdr:nvCxnSpPr>
        <xdr:cNvPr id="876" name="OpenSolver315">
          <a:extLst>
            <a:ext uri="{FF2B5EF4-FFF2-40B4-BE49-F238E27FC236}">
              <a16:creationId xmlns:a16="http://schemas.microsoft.com/office/drawing/2014/main" xmlns="" id="{00000000-0008-0000-0200-00006C030000}"/>
            </a:ext>
          </a:extLst>
        </xdr:cNvPr>
        <xdr:cNvCxnSpPr>
          <a:stCxn id="874" idx="0"/>
          <a:endCxn id="875" idx="1"/>
        </xdr:cNvCxnSpPr>
      </xdr:nvCxnSpPr>
      <xdr:spPr>
        <a:xfrm flipV="1">
          <a:off x="13106400" y="857250"/>
          <a:ext cx="44805600" cy="51911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571500</xdr:colOff>
      <xdr:row>140</xdr:row>
      <xdr:rowOff>15875</xdr:rowOff>
    </xdr:from>
    <xdr:to>
      <xdr:col>58</xdr:col>
      <xdr:colOff>342900</xdr:colOff>
      <xdr:row>141</xdr:row>
      <xdr:rowOff>79375</xdr:rowOff>
    </xdr:to>
    <xdr:sp macro="" textlink="">
      <xdr:nvSpPr>
        <xdr:cNvPr id="877" name="OpenSolver316">
          <a:extLst>
            <a:ext uri="{FF2B5EF4-FFF2-40B4-BE49-F238E27FC236}">
              <a16:creationId xmlns:a16="http://schemas.microsoft.com/office/drawing/2014/main" xmlns="" id="{00000000-0008-0000-0200-00006D030000}"/>
            </a:ext>
          </a:extLst>
        </xdr:cNvPr>
        <xdr:cNvSpPr/>
      </xdr:nvSpPr>
      <xdr:spPr>
        <a:xfrm>
          <a:off x="35318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304</xdr:row>
      <xdr:rowOff>0</xdr:rowOff>
    </xdr:from>
    <xdr:to>
      <xdr:col>22</xdr:col>
      <xdr:colOff>0</xdr:colOff>
      <xdr:row>313</xdr:row>
      <xdr:rowOff>0</xdr:rowOff>
    </xdr:to>
    <xdr:sp macro="" textlink="">
      <xdr:nvSpPr>
        <xdr:cNvPr id="878" name="OpenSolver317">
          <a:extLst>
            <a:ext uri="{FF2B5EF4-FFF2-40B4-BE49-F238E27FC236}">
              <a16:creationId xmlns:a16="http://schemas.microsoft.com/office/drawing/2014/main" xmlns="" id="{00000000-0008-0000-0200-00006E030000}"/>
            </a:ext>
          </a:extLst>
        </xdr:cNvPr>
        <xdr:cNvSpPr/>
      </xdr:nvSpPr>
      <xdr:spPr>
        <a:xfrm>
          <a:off x="12801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96</xdr:col>
      <xdr:colOff>0</xdr:colOff>
      <xdr:row>4</xdr:row>
      <xdr:rowOff>0</xdr:rowOff>
    </xdr:from>
    <xdr:to>
      <xdr:col>97</xdr:col>
      <xdr:colOff>0</xdr:colOff>
      <xdr:row>5</xdr:row>
      <xdr:rowOff>0</xdr:rowOff>
    </xdr:to>
    <xdr:sp macro="" textlink="">
      <xdr:nvSpPr>
        <xdr:cNvPr id="879" name="OpenSolver318">
          <a:extLst>
            <a:ext uri="{FF2B5EF4-FFF2-40B4-BE49-F238E27FC236}">
              <a16:creationId xmlns:a16="http://schemas.microsoft.com/office/drawing/2014/main" xmlns="" id="{00000000-0008-0000-0200-00006F030000}"/>
            </a:ext>
          </a:extLst>
        </xdr:cNvPr>
        <xdr:cNvSpPr/>
      </xdr:nvSpPr>
      <xdr:spPr>
        <a:xfrm>
          <a:off x="5852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21</xdr:col>
      <xdr:colOff>304800</xdr:colOff>
      <xdr:row>4</xdr:row>
      <xdr:rowOff>95250</xdr:rowOff>
    </xdr:from>
    <xdr:to>
      <xdr:col>96</xdr:col>
      <xdr:colOff>0</xdr:colOff>
      <xdr:row>304</xdr:row>
      <xdr:rowOff>0</xdr:rowOff>
    </xdr:to>
    <xdr:cxnSp macro="">
      <xdr:nvCxnSpPr>
        <xdr:cNvPr id="880" name="OpenSolver319">
          <a:extLst>
            <a:ext uri="{FF2B5EF4-FFF2-40B4-BE49-F238E27FC236}">
              <a16:creationId xmlns:a16="http://schemas.microsoft.com/office/drawing/2014/main" xmlns="" id="{00000000-0008-0000-0200-000070030000}"/>
            </a:ext>
          </a:extLst>
        </xdr:cNvPr>
        <xdr:cNvCxnSpPr>
          <a:stCxn id="878" idx="0"/>
          <a:endCxn id="879" idx="1"/>
        </xdr:cNvCxnSpPr>
      </xdr:nvCxnSpPr>
      <xdr:spPr>
        <a:xfrm flipV="1">
          <a:off x="13106400" y="857250"/>
          <a:ext cx="45415200" cy="57054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266700</xdr:colOff>
      <xdr:row>153</xdr:row>
      <xdr:rowOff>111125</xdr:rowOff>
    </xdr:from>
    <xdr:to>
      <xdr:col>59</xdr:col>
      <xdr:colOff>38100</xdr:colOff>
      <xdr:row>154</xdr:row>
      <xdr:rowOff>174625</xdr:rowOff>
    </xdr:to>
    <xdr:sp macro="" textlink="">
      <xdr:nvSpPr>
        <xdr:cNvPr id="881" name="OpenSolver320">
          <a:extLst>
            <a:ext uri="{FF2B5EF4-FFF2-40B4-BE49-F238E27FC236}">
              <a16:creationId xmlns:a16="http://schemas.microsoft.com/office/drawing/2014/main" xmlns="" id="{00000000-0008-0000-0200-000071030000}"/>
            </a:ext>
          </a:extLst>
        </xdr:cNvPr>
        <xdr:cNvSpPr/>
      </xdr:nvSpPr>
      <xdr:spPr>
        <a:xfrm>
          <a:off x="35623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313</xdr:row>
      <xdr:rowOff>0</xdr:rowOff>
    </xdr:from>
    <xdr:to>
      <xdr:col>22</xdr:col>
      <xdr:colOff>0</xdr:colOff>
      <xdr:row>315</xdr:row>
      <xdr:rowOff>0</xdr:rowOff>
    </xdr:to>
    <xdr:sp macro="" textlink="">
      <xdr:nvSpPr>
        <xdr:cNvPr id="882" name="OpenSolver321">
          <a:extLst>
            <a:ext uri="{FF2B5EF4-FFF2-40B4-BE49-F238E27FC236}">
              <a16:creationId xmlns:a16="http://schemas.microsoft.com/office/drawing/2014/main" xmlns="" id="{00000000-0008-0000-0200-000072030000}"/>
            </a:ext>
          </a:extLst>
        </xdr:cNvPr>
        <xdr:cNvSpPr/>
      </xdr:nvSpPr>
      <xdr:spPr>
        <a:xfrm>
          <a:off x="12801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97</xdr:col>
      <xdr:colOff>0</xdr:colOff>
      <xdr:row>4</xdr:row>
      <xdr:rowOff>0</xdr:rowOff>
    </xdr:from>
    <xdr:to>
      <xdr:col>98</xdr:col>
      <xdr:colOff>0</xdr:colOff>
      <xdr:row>5</xdr:row>
      <xdr:rowOff>0</xdr:rowOff>
    </xdr:to>
    <xdr:sp macro="" textlink="">
      <xdr:nvSpPr>
        <xdr:cNvPr id="883" name="OpenSolver322">
          <a:extLst>
            <a:ext uri="{FF2B5EF4-FFF2-40B4-BE49-F238E27FC236}">
              <a16:creationId xmlns:a16="http://schemas.microsoft.com/office/drawing/2014/main" xmlns="" id="{00000000-0008-0000-0200-000073030000}"/>
            </a:ext>
          </a:extLst>
        </xdr:cNvPr>
        <xdr:cNvSpPr/>
      </xdr:nvSpPr>
      <xdr:spPr>
        <a:xfrm>
          <a:off x="5913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4</xdr:row>
      <xdr:rowOff>95250</xdr:rowOff>
    </xdr:from>
    <xdr:to>
      <xdr:col>97</xdr:col>
      <xdr:colOff>0</xdr:colOff>
      <xdr:row>314</xdr:row>
      <xdr:rowOff>0</xdr:rowOff>
    </xdr:to>
    <xdr:cxnSp macro="">
      <xdr:nvCxnSpPr>
        <xdr:cNvPr id="884" name="OpenSolver323">
          <a:extLst>
            <a:ext uri="{FF2B5EF4-FFF2-40B4-BE49-F238E27FC236}">
              <a16:creationId xmlns:a16="http://schemas.microsoft.com/office/drawing/2014/main" xmlns="" id="{00000000-0008-0000-0200-000074030000}"/>
            </a:ext>
          </a:extLst>
        </xdr:cNvPr>
        <xdr:cNvCxnSpPr>
          <a:stCxn id="882" idx="3"/>
          <a:endCxn id="883" idx="1"/>
        </xdr:cNvCxnSpPr>
      </xdr:nvCxnSpPr>
      <xdr:spPr>
        <a:xfrm flipV="1">
          <a:off x="13411200" y="857250"/>
          <a:ext cx="45720000" cy="58959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114300</xdr:colOff>
      <xdr:row>158</xdr:row>
      <xdr:rowOff>111125</xdr:rowOff>
    </xdr:from>
    <xdr:to>
      <xdr:col>59</xdr:col>
      <xdr:colOff>495300</xdr:colOff>
      <xdr:row>159</xdr:row>
      <xdr:rowOff>174625</xdr:rowOff>
    </xdr:to>
    <xdr:sp macro="" textlink="">
      <xdr:nvSpPr>
        <xdr:cNvPr id="885" name="OpenSolver324">
          <a:extLst>
            <a:ext uri="{FF2B5EF4-FFF2-40B4-BE49-F238E27FC236}">
              <a16:creationId xmlns:a16="http://schemas.microsoft.com/office/drawing/2014/main" xmlns="" id="{00000000-0008-0000-0200-000075030000}"/>
            </a:ext>
          </a:extLst>
        </xdr:cNvPr>
        <xdr:cNvSpPr/>
      </xdr:nvSpPr>
      <xdr:spPr>
        <a:xfrm>
          <a:off x="36080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0</xdr:colOff>
      <xdr:row>315</xdr:row>
      <xdr:rowOff>0</xdr:rowOff>
    </xdr:from>
    <xdr:to>
      <xdr:col>22</xdr:col>
      <xdr:colOff>0</xdr:colOff>
      <xdr:row>317</xdr:row>
      <xdr:rowOff>0</xdr:rowOff>
    </xdr:to>
    <xdr:sp macro="" textlink="">
      <xdr:nvSpPr>
        <xdr:cNvPr id="886" name="OpenSolver325">
          <a:extLst>
            <a:ext uri="{FF2B5EF4-FFF2-40B4-BE49-F238E27FC236}">
              <a16:creationId xmlns:a16="http://schemas.microsoft.com/office/drawing/2014/main" xmlns="" id="{00000000-0008-0000-0200-000076030000}"/>
            </a:ext>
          </a:extLst>
        </xdr:cNvPr>
        <xdr:cNvSpPr/>
      </xdr:nvSpPr>
      <xdr:spPr>
        <a:xfrm>
          <a:off x="12801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98</xdr:col>
      <xdr:colOff>0</xdr:colOff>
      <xdr:row>4</xdr:row>
      <xdr:rowOff>0</xdr:rowOff>
    </xdr:from>
    <xdr:to>
      <xdr:col>99</xdr:col>
      <xdr:colOff>0</xdr:colOff>
      <xdr:row>5</xdr:row>
      <xdr:rowOff>0</xdr:rowOff>
    </xdr:to>
    <xdr:sp macro="" textlink="">
      <xdr:nvSpPr>
        <xdr:cNvPr id="887" name="OpenSolver326">
          <a:extLst>
            <a:ext uri="{FF2B5EF4-FFF2-40B4-BE49-F238E27FC236}">
              <a16:creationId xmlns:a16="http://schemas.microsoft.com/office/drawing/2014/main" xmlns="" id="{00000000-0008-0000-0200-000077030000}"/>
            </a:ext>
          </a:extLst>
        </xdr:cNvPr>
        <xdr:cNvSpPr/>
      </xdr:nvSpPr>
      <xdr:spPr>
        <a:xfrm>
          <a:off x="5974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0</xdr:colOff>
      <xdr:row>4</xdr:row>
      <xdr:rowOff>95250</xdr:rowOff>
    </xdr:from>
    <xdr:to>
      <xdr:col>98</xdr:col>
      <xdr:colOff>0</xdr:colOff>
      <xdr:row>316</xdr:row>
      <xdr:rowOff>0</xdr:rowOff>
    </xdr:to>
    <xdr:cxnSp macro="">
      <xdr:nvCxnSpPr>
        <xdr:cNvPr id="888" name="OpenSolver327">
          <a:extLst>
            <a:ext uri="{FF2B5EF4-FFF2-40B4-BE49-F238E27FC236}">
              <a16:creationId xmlns:a16="http://schemas.microsoft.com/office/drawing/2014/main" xmlns="" id="{00000000-0008-0000-0200-000078030000}"/>
            </a:ext>
          </a:extLst>
        </xdr:cNvPr>
        <xdr:cNvCxnSpPr>
          <a:stCxn id="886" idx="3"/>
          <a:endCxn id="887" idx="1"/>
        </xdr:cNvCxnSpPr>
      </xdr:nvCxnSpPr>
      <xdr:spPr>
        <a:xfrm flipV="1">
          <a:off x="13411200" y="857250"/>
          <a:ext cx="46329600" cy="59340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419100</xdr:colOff>
      <xdr:row>159</xdr:row>
      <xdr:rowOff>111125</xdr:rowOff>
    </xdr:from>
    <xdr:to>
      <xdr:col>60</xdr:col>
      <xdr:colOff>190500</xdr:colOff>
      <xdr:row>160</xdr:row>
      <xdr:rowOff>174625</xdr:rowOff>
    </xdr:to>
    <xdr:sp macro="" textlink="">
      <xdr:nvSpPr>
        <xdr:cNvPr id="889" name="OpenSolver328">
          <a:extLst>
            <a:ext uri="{FF2B5EF4-FFF2-40B4-BE49-F238E27FC236}">
              <a16:creationId xmlns:a16="http://schemas.microsoft.com/office/drawing/2014/main" xmlns="" id="{00000000-0008-0000-0200-000079030000}"/>
            </a:ext>
          </a:extLst>
        </xdr:cNvPr>
        <xdr:cNvSpPr/>
      </xdr:nvSpPr>
      <xdr:spPr>
        <a:xfrm>
          <a:off x="36385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18</xdr:row>
      <xdr:rowOff>0</xdr:rowOff>
    </xdr:from>
    <xdr:to>
      <xdr:col>23</xdr:col>
      <xdr:colOff>0</xdr:colOff>
      <xdr:row>102</xdr:row>
      <xdr:rowOff>0</xdr:rowOff>
    </xdr:to>
    <xdr:sp macro="" textlink="">
      <xdr:nvSpPr>
        <xdr:cNvPr id="890" name="OpenSolver329">
          <a:extLst>
            <a:ext uri="{FF2B5EF4-FFF2-40B4-BE49-F238E27FC236}">
              <a16:creationId xmlns:a16="http://schemas.microsoft.com/office/drawing/2014/main" xmlns="" id="{00000000-0008-0000-0200-00007A030000}"/>
            </a:ext>
          </a:extLst>
        </xdr:cNvPr>
        <xdr:cNvSpPr/>
      </xdr:nvSpPr>
      <xdr:spPr>
        <a:xfrm>
          <a:off x="134112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99</xdr:col>
      <xdr:colOff>0</xdr:colOff>
      <xdr:row>4</xdr:row>
      <xdr:rowOff>0</xdr:rowOff>
    </xdr:from>
    <xdr:to>
      <xdr:col>100</xdr:col>
      <xdr:colOff>0</xdr:colOff>
      <xdr:row>5</xdr:row>
      <xdr:rowOff>0</xdr:rowOff>
    </xdr:to>
    <xdr:sp macro="" textlink="">
      <xdr:nvSpPr>
        <xdr:cNvPr id="891" name="OpenSolver330">
          <a:extLst>
            <a:ext uri="{FF2B5EF4-FFF2-40B4-BE49-F238E27FC236}">
              <a16:creationId xmlns:a16="http://schemas.microsoft.com/office/drawing/2014/main" xmlns="" id="{00000000-0008-0000-0200-00007B030000}"/>
            </a:ext>
          </a:extLst>
        </xdr:cNvPr>
        <xdr:cNvSpPr/>
      </xdr:nvSpPr>
      <xdr:spPr>
        <a:xfrm>
          <a:off x="6035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99</xdr:col>
      <xdr:colOff>0</xdr:colOff>
      <xdr:row>18</xdr:row>
      <xdr:rowOff>0</xdr:rowOff>
    </xdr:to>
    <xdr:cxnSp macro="">
      <xdr:nvCxnSpPr>
        <xdr:cNvPr id="892" name="OpenSolver331">
          <a:extLst>
            <a:ext uri="{FF2B5EF4-FFF2-40B4-BE49-F238E27FC236}">
              <a16:creationId xmlns:a16="http://schemas.microsoft.com/office/drawing/2014/main" xmlns="" id="{00000000-0008-0000-0200-00007C030000}"/>
            </a:ext>
          </a:extLst>
        </xdr:cNvPr>
        <xdr:cNvCxnSpPr>
          <a:stCxn id="890" idx="0"/>
          <a:endCxn id="891" idx="1"/>
        </xdr:cNvCxnSpPr>
      </xdr:nvCxnSpPr>
      <xdr:spPr>
        <a:xfrm flipV="1">
          <a:off x="13716000" y="857250"/>
          <a:ext cx="46634400" cy="2571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266700</xdr:colOff>
      <xdr:row>10</xdr:row>
      <xdr:rowOff>111125</xdr:rowOff>
    </xdr:from>
    <xdr:to>
      <xdr:col>61</xdr:col>
      <xdr:colOff>38100</xdr:colOff>
      <xdr:row>11</xdr:row>
      <xdr:rowOff>174625</xdr:rowOff>
    </xdr:to>
    <xdr:sp macro="" textlink="">
      <xdr:nvSpPr>
        <xdr:cNvPr id="893" name="OpenSolver332">
          <a:extLst>
            <a:ext uri="{FF2B5EF4-FFF2-40B4-BE49-F238E27FC236}">
              <a16:creationId xmlns:a16="http://schemas.microsoft.com/office/drawing/2014/main" xmlns="" id="{00000000-0008-0000-0200-00007D030000}"/>
            </a:ext>
          </a:extLst>
        </xdr:cNvPr>
        <xdr:cNvSpPr/>
      </xdr:nvSpPr>
      <xdr:spPr>
        <a:xfrm>
          <a:off x="36842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102</xdr:row>
      <xdr:rowOff>0</xdr:rowOff>
    </xdr:from>
    <xdr:to>
      <xdr:col>23</xdr:col>
      <xdr:colOff>0</xdr:colOff>
      <xdr:row>127</xdr:row>
      <xdr:rowOff>0</xdr:rowOff>
    </xdr:to>
    <xdr:sp macro="" textlink="">
      <xdr:nvSpPr>
        <xdr:cNvPr id="894" name="OpenSolver333">
          <a:extLst>
            <a:ext uri="{FF2B5EF4-FFF2-40B4-BE49-F238E27FC236}">
              <a16:creationId xmlns:a16="http://schemas.microsoft.com/office/drawing/2014/main" xmlns="" id="{00000000-0008-0000-0200-00007E030000}"/>
            </a:ext>
          </a:extLst>
        </xdr:cNvPr>
        <xdr:cNvSpPr/>
      </xdr:nvSpPr>
      <xdr:spPr>
        <a:xfrm>
          <a:off x="134112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100</xdr:col>
      <xdr:colOff>0</xdr:colOff>
      <xdr:row>4</xdr:row>
      <xdr:rowOff>0</xdr:rowOff>
    </xdr:from>
    <xdr:to>
      <xdr:col>101</xdr:col>
      <xdr:colOff>0</xdr:colOff>
      <xdr:row>5</xdr:row>
      <xdr:rowOff>0</xdr:rowOff>
    </xdr:to>
    <xdr:sp macro="" textlink="">
      <xdr:nvSpPr>
        <xdr:cNvPr id="895" name="OpenSolver334">
          <a:extLst>
            <a:ext uri="{FF2B5EF4-FFF2-40B4-BE49-F238E27FC236}">
              <a16:creationId xmlns:a16="http://schemas.microsoft.com/office/drawing/2014/main" xmlns="" id="{00000000-0008-0000-0200-00007F030000}"/>
            </a:ext>
          </a:extLst>
        </xdr:cNvPr>
        <xdr:cNvSpPr/>
      </xdr:nvSpPr>
      <xdr:spPr>
        <a:xfrm>
          <a:off x="6096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100</xdr:col>
      <xdr:colOff>0</xdr:colOff>
      <xdr:row>102</xdr:row>
      <xdr:rowOff>0</xdr:rowOff>
    </xdr:to>
    <xdr:cxnSp macro="">
      <xdr:nvCxnSpPr>
        <xdr:cNvPr id="896" name="OpenSolver335">
          <a:extLst>
            <a:ext uri="{FF2B5EF4-FFF2-40B4-BE49-F238E27FC236}">
              <a16:creationId xmlns:a16="http://schemas.microsoft.com/office/drawing/2014/main" xmlns="" id="{00000000-0008-0000-0200-000080030000}"/>
            </a:ext>
          </a:extLst>
        </xdr:cNvPr>
        <xdr:cNvCxnSpPr>
          <a:stCxn id="894" idx="0"/>
          <a:endCxn id="895" idx="1"/>
        </xdr:cNvCxnSpPr>
      </xdr:nvCxnSpPr>
      <xdr:spPr>
        <a:xfrm flipV="1">
          <a:off x="13716000" y="857250"/>
          <a:ext cx="47244000" cy="1857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571500</xdr:colOff>
      <xdr:row>52</xdr:row>
      <xdr:rowOff>111125</xdr:rowOff>
    </xdr:from>
    <xdr:to>
      <xdr:col>61</xdr:col>
      <xdr:colOff>342900</xdr:colOff>
      <xdr:row>53</xdr:row>
      <xdr:rowOff>174625</xdr:rowOff>
    </xdr:to>
    <xdr:sp macro="" textlink="">
      <xdr:nvSpPr>
        <xdr:cNvPr id="897" name="OpenSolver336">
          <a:extLst>
            <a:ext uri="{FF2B5EF4-FFF2-40B4-BE49-F238E27FC236}">
              <a16:creationId xmlns:a16="http://schemas.microsoft.com/office/drawing/2014/main" xmlns="" id="{00000000-0008-0000-0200-000081030000}"/>
            </a:ext>
          </a:extLst>
        </xdr:cNvPr>
        <xdr:cNvSpPr/>
      </xdr:nvSpPr>
      <xdr:spPr>
        <a:xfrm>
          <a:off x="37147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127</xdr:row>
      <xdr:rowOff>0</xdr:rowOff>
    </xdr:from>
    <xdr:to>
      <xdr:col>23</xdr:col>
      <xdr:colOff>0</xdr:colOff>
      <xdr:row>135</xdr:row>
      <xdr:rowOff>0</xdr:rowOff>
    </xdr:to>
    <xdr:sp macro="" textlink="">
      <xdr:nvSpPr>
        <xdr:cNvPr id="898" name="OpenSolver337">
          <a:extLst>
            <a:ext uri="{FF2B5EF4-FFF2-40B4-BE49-F238E27FC236}">
              <a16:creationId xmlns:a16="http://schemas.microsoft.com/office/drawing/2014/main" xmlns="" id="{00000000-0008-0000-0200-000082030000}"/>
            </a:ext>
          </a:extLst>
        </xdr:cNvPr>
        <xdr:cNvSpPr/>
      </xdr:nvSpPr>
      <xdr:spPr>
        <a:xfrm>
          <a:off x="134112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101</xdr:col>
      <xdr:colOff>0</xdr:colOff>
      <xdr:row>4</xdr:row>
      <xdr:rowOff>0</xdr:rowOff>
    </xdr:from>
    <xdr:to>
      <xdr:col>102</xdr:col>
      <xdr:colOff>0</xdr:colOff>
      <xdr:row>5</xdr:row>
      <xdr:rowOff>0</xdr:rowOff>
    </xdr:to>
    <xdr:sp macro="" textlink="">
      <xdr:nvSpPr>
        <xdr:cNvPr id="899" name="OpenSolver338">
          <a:extLst>
            <a:ext uri="{FF2B5EF4-FFF2-40B4-BE49-F238E27FC236}">
              <a16:creationId xmlns:a16="http://schemas.microsoft.com/office/drawing/2014/main" xmlns="" id="{00000000-0008-0000-0200-000083030000}"/>
            </a:ext>
          </a:extLst>
        </xdr:cNvPr>
        <xdr:cNvSpPr/>
      </xdr:nvSpPr>
      <xdr:spPr>
        <a:xfrm>
          <a:off x="6156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101</xdr:col>
      <xdr:colOff>0</xdr:colOff>
      <xdr:row>127</xdr:row>
      <xdr:rowOff>0</xdr:rowOff>
    </xdr:to>
    <xdr:cxnSp macro="">
      <xdr:nvCxnSpPr>
        <xdr:cNvPr id="900" name="OpenSolver339">
          <a:extLst>
            <a:ext uri="{FF2B5EF4-FFF2-40B4-BE49-F238E27FC236}">
              <a16:creationId xmlns:a16="http://schemas.microsoft.com/office/drawing/2014/main" xmlns="" id="{00000000-0008-0000-0200-000084030000}"/>
            </a:ext>
          </a:extLst>
        </xdr:cNvPr>
        <xdr:cNvCxnSpPr>
          <a:stCxn id="898" idx="0"/>
          <a:endCxn id="899" idx="1"/>
        </xdr:cNvCxnSpPr>
      </xdr:nvCxnSpPr>
      <xdr:spPr>
        <a:xfrm flipV="1">
          <a:off x="13716000" y="857250"/>
          <a:ext cx="47853600" cy="23336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266700</xdr:colOff>
      <xdr:row>65</xdr:row>
      <xdr:rowOff>15875</xdr:rowOff>
    </xdr:from>
    <xdr:to>
      <xdr:col>62</xdr:col>
      <xdr:colOff>38100</xdr:colOff>
      <xdr:row>66</xdr:row>
      <xdr:rowOff>79375</xdr:rowOff>
    </xdr:to>
    <xdr:sp macro="" textlink="">
      <xdr:nvSpPr>
        <xdr:cNvPr id="901" name="OpenSolver340">
          <a:extLst>
            <a:ext uri="{FF2B5EF4-FFF2-40B4-BE49-F238E27FC236}">
              <a16:creationId xmlns:a16="http://schemas.microsoft.com/office/drawing/2014/main" xmlns="" id="{00000000-0008-0000-0200-000085030000}"/>
            </a:ext>
          </a:extLst>
        </xdr:cNvPr>
        <xdr:cNvSpPr/>
      </xdr:nvSpPr>
      <xdr:spPr>
        <a:xfrm>
          <a:off x="374523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135</xdr:row>
      <xdr:rowOff>0</xdr:rowOff>
    </xdr:from>
    <xdr:to>
      <xdr:col>23</xdr:col>
      <xdr:colOff>0</xdr:colOff>
      <xdr:row>142</xdr:row>
      <xdr:rowOff>0</xdr:rowOff>
    </xdr:to>
    <xdr:sp macro="" textlink="">
      <xdr:nvSpPr>
        <xdr:cNvPr id="902" name="OpenSolver341">
          <a:extLst>
            <a:ext uri="{FF2B5EF4-FFF2-40B4-BE49-F238E27FC236}">
              <a16:creationId xmlns:a16="http://schemas.microsoft.com/office/drawing/2014/main" xmlns="" id="{00000000-0008-0000-0200-000086030000}"/>
            </a:ext>
          </a:extLst>
        </xdr:cNvPr>
        <xdr:cNvSpPr/>
      </xdr:nvSpPr>
      <xdr:spPr>
        <a:xfrm>
          <a:off x="134112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102</xdr:col>
      <xdr:colOff>0</xdr:colOff>
      <xdr:row>4</xdr:row>
      <xdr:rowOff>0</xdr:rowOff>
    </xdr:from>
    <xdr:to>
      <xdr:col>103</xdr:col>
      <xdr:colOff>0</xdr:colOff>
      <xdr:row>5</xdr:row>
      <xdr:rowOff>0</xdr:rowOff>
    </xdr:to>
    <xdr:sp macro="" textlink="">
      <xdr:nvSpPr>
        <xdr:cNvPr id="903" name="OpenSolver342">
          <a:extLst>
            <a:ext uri="{FF2B5EF4-FFF2-40B4-BE49-F238E27FC236}">
              <a16:creationId xmlns:a16="http://schemas.microsoft.com/office/drawing/2014/main" xmlns="" id="{00000000-0008-0000-0200-000087030000}"/>
            </a:ext>
          </a:extLst>
        </xdr:cNvPr>
        <xdr:cNvSpPr/>
      </xdr:nvSpPr>
      <xdr:spPr>
        <a:xfrm>
          <a:off x="6217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102</xdr:col>
      <xdr:colOff>0</xdr:colOff>
      <xdr:row>135</xdr:row>
      <xdr:rowOff>0</xdr:rowOff>
    </xdr:to>
    <xdr:cxnSp macro="">
      <xdr:nvCxnSpPr>
        <xdr:cNvPr id="904" name="OpenSolver343">
          <a:extLst>
            <a:ext uri="{FF2B5EF4-FFF2-40B4-BE49-F238E27FC236}">
              <a16:creationId xmlns:a16="http://schemas.microsoft.com/office/drawing/2014/main" xmlns="" id="{00000000-0008-0000-0200-000088030000}"/>
            </a:ext>
          </a:extLst>
        </xdr:cNvPr>
        <xdr:cNvCxnSpPr>
          <a:stCxn id="902" idx="0"/>
          <a:endCxn id="903" idx="1"/>
        </xdr:cNvCxnSpPr>
      </xdr:nvCxnSpPr>
      <xdr:spPr>
        <a:xfrm flipV="1">
          <a:off x="13716000" y="857250"/>
          <a:ext cx="48463200" cy="24860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571500</xdr:colOff>
      <xdr:row>69</xdr:row>
      <xdr:rowOff>15875</xdr:rowOff>
    </xdr:from>
    <xdr:to>
      <xdr:col>62</xdr:col>
      <xdr:colOff>342900</xdr:colOff>
      <xdr:row>70</xdr:row>
      <xdr:rowOff>79375</xdr:rowOff>
    </xdr:to>
    <xdr:sp macro="" textlink="">
      <xdr:nvSpPr>
        <xdr:cNvPr id="905" name="OpenSolver344">
          <a:extLst>
            <a:ext uri="{FF2B5EF4-FFF2-40B4-BE49-F238E27FC236}">
              <a16:creationId xmlns:a16="http://schemas.microsoft.com/office/drawing/2014/main" xmlns="" id="{00000000-0008-0000-0200-000089030000}"/>
            </a:ext>
          </a:extLst>
        </xdr:cNvPr>
        <xdr:cNvSpPr/>
      </xdr:nvSpPr>
      <xdr:spPr>
        <a:xfrm>
          <a:off x="377571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142</xdr:row>
      <xdr:rowOff>0</xdr:rowOff>
    </xdr:from>
    <xdr:to>
      <xdr:col>23</xdr:col>
      <xdr:colOff>0</xdr:colOff>
      <xdr:row>277</xdr:row>
      <xdr:rowOff>0</xdr:rowOff>
    </xdr:to>
    <xdr:sp macro="" textlink="">
      <xdr:nvSpPr>
        <xdr:cNvPr id="906" name="OpenSolver345">
          <a:extLst>
            <a:ext uri="{FF2B5EF4-FFF2-40B4-BE49-F238E27FC236}">
              <a16:creationId xmlns:a16="http://schemas.microsoft.com/office/drawing/2014/main" xmlns="" id="{00000000-0008-0000-0200-00008A030000}"/>
            </a:ext>
          </a:extLst>
        </xdr:cNvPr>
        <xdr:cNvSpPr/>
      </xdr:nvSpPr>
      <xdr:spPr>
        <a:xfrm>
          <a:off x="134112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103</xdr:col>
      <xdr:colOff>0</xdr:colOff>
      <xdr:row>4</xdr:row>
      <xdr:rowOff>0</xdr:rowOff>
    </xdr:from>
    <xdr:to>
      <xdr:col>104</xdr:col>
      <xdr:colOff>0</xdr:colOff>
      <xdr:row>5</xdr:row>
      <xdr:rowOff>0</xdr:rowOff>
    </xdr:to>
    <xdr:sp macro="" textlink="">
      <xdr:nvSpPr>
        <xdr:cNvPr id="907" name="OpenSolver346">
          <a:extLst>
            <a:ext uri="{FF2B5EF4-FFF2-40B4-BE49-F238E27FC236}">
              <a16:creationId xmlns:a16="http://schemas.microsoft.com/office/drawing/2014/main" xmlns="" id="{00000000-0008-0000-0200-00008B030000}"/>
            </a:ext>
          </a:extLst>
        </xdr:cNvPr>
        <xdr:cNvSpPr/>
      </xdr:nvSpPr>
      <xdr:spPr>
        <a:xfrm>
          <a:off x="6278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103</xdr:col>
      <xdr:colOff>0</xdr:colOff>
      <xdr:row>142</xdr:row>
      <xdr:rowOff>0</xdr:rowOff>
    </xdr:to>
    <xdr:cxnSp macro="">
      <xdr:nvCxnSpPr>
        <xdr:cNvPr id="908" name="OpenSolver347">
          <a:extLst>
            <a:ext uri="{FF2B5EF4-FFF2-40B4-BE49-F238E27FC236}">
              <a16:creationId xmlns:a16="http://schemas.microsoft.com/office/drawing/2014/main" xmlns="" id="{00000000-0008-0000-0200-00008C030000}"/>
            </a:ext>
          </a:extLst>
        </xdr:cNvPr>
        <xdr:cNvCxnSpPr>
          <a:stCxn id="906" idx="0"/>
          <a:endCxn id="907" idx="1"/>
        </xdr:cNvCxnSpPr>
      </xdr:nvCxnSpPr>
      <xdr:spPr>
        <a:xfrm flipV="1">
          <a:off x="13716000" y="857250"/>
          <a:ext cx="49072800" cy="2619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266700</xdr:colOff>
      <xdr:row>72</xdr:row>
      <xdr:rowOff>111125</xdr:rowOff>
    </xdr:from>
    <xdr:to>
      <xdr:col>63</xdr:col>
      <xdr:colOff>38100</xdr:colOff>
      <xdr:row>73</xdr:row>
      <xdr:rowOff>174625</xdr:rowOff>
    </xdr:to>
    <xdr:sp macro="" textlink="">
      <xdr:nvSpPr>
        <xdr:cNvPr id="909" name="OpenSolver348">
          <a:extLst>
            <a:ext uri="{FF2B5EF4-FFF2-40B4-BE49-F238E27FC236}">
              <a16:creationId xmlns:a16="http://schemas.microsoft.com/office/drawing/2014/main" xmlns="" id="{00000000-0008-0000-0200-00008D030000}"/>
            </a:ext>
          </a:extLst>
        </xdr:cNvPr>
        <xdr:cNvSpPr/>
      </xdr:nvSpPr>
      <xdr:spPr>
        <a:xfrm>
          <a:off x="38061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277</xdr:row>
      <xdr:rowOff>0</xdr:rowOff>
    </xdr:from>
    <xdr:to>
      <xdr:col>23</xdr:col>
      <xdr:colOff>0</xdr:colOff>
      <xdr:row>304</xdr:row>
      <xdr:rowOff>0</xdr:rowOff>
    </xdr:to>
    <xdr:sp macro="" textlink="">
      <xdr:nvSpPr>
        <xdr:cNvPr id="910" name="OpenSolver349">
          <a:extLst>
            <a:ext uri="{FF2B5EF4-FFF2-40B4-BE49-F238E27FC236}">
              <a16:creationId xmlns:a16="http://schemas.microsoft.com/office/drawing/2014/main" xmlns="" id="{00000000-0008-0000-0200-00008E030000}"/>
            </a:ext>
          </a:extLst>
        </xdr:cNvPr>
        <xdr:cNvSpPr/>
      </xdr:nvSpPr>
      <xdr:spPr>
        <a:xfrm>
          <a:off x="134112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104</xdr:col>
      <xdr:colOff>0</xdr:colOff>
      <xdr:row>4</xdr:row>
      <xdr:rowOff>0</xdr:rowOff>
    </xdr:from>
    <xdr:to>
      <xdr:col>105</xdr:col>
      <xdr:colOff>0</xdr:colOff>
      <xdr:row>5</xdr:row>
      <xdr:rowOff>0</xdr:rowOff>
    </xdr:to>
    <xdr:sp macro="" textlink="">
      <xdr:nvSpPr>
        <xdr:cNvPr id="911" name="OpenSolver350">
          <a:extLst>
            <a:ext uri="{FF2B5EF4-FFF2-40B4-BE49-F238E27FC236}">
              <a16:creationId xmlns:a16="http://schemas.microsoft.com/office/drawing/2014/main" xmlns="" id="{00000000-0008-0000-0200-00008F030000}"/>
            </a:ext>
          </a:extLst>
        </xdr:cNvPr>
        <xdr:cNvSpPr/>
      </xdr:nvSpPr>
      <xdr:spPr>
        <a:xfrm>
          <a:off x="6339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104</xdr:col>
      <xdr:colOff>0</xdr:colOff>
      <xdr:row>277</xdr:row>
      <xdr:rowOff>0</xdr:rowOff>
    </xdr:to>
    <xdr:cxnSp macro="">
      <xdr:nvCxnSpPr>
        <xdr:cNvPr id="912" name="OpenSolver351">
          <a:extLst>
            <a:ext uri="{FF2B5EF4-FFF2-40B4-BE49-F238E27FC236}">
              <a16:creationId xmlns:a16="http://schemas.microsoft.com/office/drawing/2014/main" xmlns="" id="{00000000-0008-0000-0200-000090030000}"/>
            </a:ext>
          </a:extLst>
        </xdr:cNvPr>
        <xdr:cNvCxnSpPr>
          <a:stCxn id="910" idx="0"/>
          <a:endCxn id="911" idx="1"/>
        </xdr:cNvCxnSpPr>
      </xdr:nvCxnSpPr>
      <xdr:spPr>
        <a:xfrm flipV="1">
          <a:off x="13716000" y="857250"/>
          <a:ext cx="49682400" cy="51911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571500</xdr:colOff>
      <xdr:row>140</xdr:row>
      <xdr:rowOff>15875</xdr:rowOff>
    </xdr:from>
    <xdr:to>
      <xdr:col>63</xdr:col>
      <xdr:colOff>342900</xdr:colOff>
      <xdr:row>141</xdr:row>
      <xdr:rowOff>79375</xdr:rowOff>
    </xdr:to>
    <xdr:sp macro="" textlink="">
      <xdr:nvSpPr>
        <xdr:cNvPr id="913" name="OpenSolver352">
          <a:extLst>
            <a:ext uri="{FF2B5EF4-FFF2-40B4-BE49-F238E27FC236}">
              <a16:creationId xmlns:a16="http://schemas.microsoft.com/office/drawing/2014/main" xmlns="" id="{00000000-0008-0000-0200-000091030000}"/>
            </a:ext>
          </a:extLst>
        </xdr:cNvPr>
        <xdr:cNvSpPr/>
      </xdr:nvSpPr>
      <xdr:spPr>
        <a:xfrm>
          <a:off x="38366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304</xdr:row>
      <xdr:rowOff>0</xdr:rowOff>
    </xdr:from>
    <xdr:to>
      <xdr:col>23</xdr:col>
      <xdr:colOff>0</xdr:colOff>
      <xdr:row>313</xdr:row>
      <xdr:rowOff>0</xdr:rowOff>
    </xdr:to>
    <xdr:sp macro="" textlink="">
      <xdr:nvSpPr>
        <xdr:cNvPr id="914" name="OpenSolver353">
          <a:extLst>
            <a:ext uri="{FF2B5EF4-FFF2-40B4-BE49-F238E27FC236}">
              <a16:creationId xmlns:a16="http://schemas.microsoft.com/office/drawing/2014/main" xmlns="" id="{00000000-0008-0000-0200-000092030000}"/>
            </a:ext>
          </a:extLst>
        </xdr:cNvPr>
        <xdr:cNvSpPr/>
      </xdr:nvSpPr>
      <xdr:spPr>
        <a:xfrm>
          <a:off x="134112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105</xdr:col>
      <xdr:colOff>0</xdr:colOff>
      <xdr:row>4</xdr:row>
      <xdr:rowOff>0</xdr:rowOff>
    </xdr:from>
    <xdr:to>
      <xdr:col>106</xdr:col>
      <xdr:colOff>0</xdr:colOff>
      <xdr:row>5</xdr:row>
      <xdr:rowOff>0</xdr:rowOff>
    </xdr:to>
    <xdr:sp macro="" textlink="">
      <xdr:nvSpPr>
        <xdr:cNvPr id="915" name="OpenSolver354">
          <a:extLst>
            <a:ext uri="{FF2B5EF4-FFF2-40B4-BE49-F238E27FC236}">
              <a16:creationId xmlns:a16="http://schemas.microsoft.com/office/drawing/2014/main" xmlns="" id="{00000000-0008-0000-0200-000093030000}"/>
            </a:ext>
          </a:extLst>
        </xdr:cNvPr>
        <xdr:cNvSpPr/>
      </xdr:nvSpPr>
      <xdr:spPr>
        <a:xfrm>
          <a:off x="6400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22</xdr:col>
      <xdr:colOff>304800</xdr:colOff>
      <xdr:row>4</xdr:row>
      <xdr:rowOff>95250</xdr:rowOff>
    </xdr:from>
    <xdr:to>
      <xdr:col>105</xdr:col>
      <xdr:colOff>0</xdr:colOff>
      <xdr:row>304</xdr:row>
      <xdr:rowOff>0</xdr:rowOff>
    </xdr:to>
    <xdr:cxnSp macro="">
      <xdr:nvCxnSpPr>
        <xdr:cNvPr id="916" name="OpenSolver355">
          <a:extLst>
            <a:ext uri="{FF2B5EF4-FFF2-40B4-BE49-F238E27FC236}">
              <a16:creationId xmlns:a16="http://schemas.microsoft.com/office/drawing/2014/main" xmlns="" id="{00000000-0008-0000-0200-000094030000}"/>
            </a:ext>
          </a:extLst>
        </xdr:cNvPr>
        <xdr:cNvCxnSpPr>
          <a:stCxn id="914" idx="0"/>
          <a:endCxn id="915" idx="1"/>
        </xdr:cNvCxnSpPr>
      </xdr:nvCxnSpPr>
      <xdr:spPr>
        <a:xfrm flipV="1">
          <a:off x="13716000" y="857250"/>
          <a:ext cx="50292000" cy="57054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266700</xdr:colOff>
      <xdr:row>153</xdr:row>
      <xdr:rowOff>111125</xdr:rowOff>
    </xdr:from>
    <xdr:to>
      <xdr:col>64</xdr:col>
      <xdr:colOff>38100</xdr:colOff>
      <xdr:row>154</xdr:row>
      <xdr:rowOff>174625</xdr:rowOff>
    </xdr:to>
    <xdr:sp macro="" textlink="">
      <xdr:nvSpPr>
        <xdr:cNvPr id="917" name="OpenSolver356">
          <a:extLst>
            <a:ext uri="{FF2B5EF4-FFF2-40B4-BE49-F238E27FC236}">
              <a16:creationId xmlns:a16="http://schemas.microsoft.com/office/drawing/2014/main" xmlns="" id="{00000000-0008-0000-0200-000095030000}"/>
            </a:ext>
          </a:extLst>
        </xdr:cNvPr>
        <xdr:cNvSpPr/>
      </xdr:nvSpPr>
      <xdr:spPr>
        <a:xfrm>
          <a:off x="38671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313</xdr:row>
      <xdr:rowOff>0</xdr:rowOff>
    </xdr:from>
    <xdr:to>
      <xdr:col>23</xdr:col>
      <xdr:colOff>0</xdr:colOff>
      <xdr:row>315</xdr:row>
      <xdr:rowOff>0</xdr:rowOff>
    </xdr:to>
    <xdr:sp macro="" textlink="">
      <xdr:nvSpPr>
        <xdr:cNvPr id="918" name="OpenSolver357">
          <a:extLst>
            <a:ext uri="{FF2B5EF4-FFF2-40B4-BE49-F238E27FC236}">
              <a16:creationId xmlns:a16="http://schemas.microsoft.com/office/drawing/2014/main" xmlns="" id="{00000000-0008-0000-0200-000096030000}"/>
            </a:ext>
          </a:extLst>
        </xdr:cNvPr>
        <xdr:cNvSpPr/>
      </xdr:nvSpPr>
      <xdr:spPr>
        <a:xfrm>
          <a:off x="134112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106</xdr:col>
      <xdr:colOff>0</xdr:colOff>
      <xdr:row>4</xdr:row>
      <xdr:rowOff>0</xdr:rowOff>
    </xdr:from>
    <xdr:to>
      <xdr:col>107</xdr:col>
      <xdr:colOff>0</xdr:colOff>
      <xdr:row>5</xdr:row>
      <xdr:rowOff>0</xdr:rowOff>
    </xdr:to>
    <xdr:sp macro="" textlink="">
      <xdr:nvSpPr>
        <xdr:cNvPr id="919" name="OpenSolver358">
          <a:extLst>
            <a:ext uri="{FF2B5EF4-FFF2-40B4-BE49-F238E27FC236}">
              <a16:creationId xmlns:a16="http://schemas.microsoft.com/office/drawing/2014/main" xmlns="" id="{00000000-0008-0000-0200-000097030000}"/>
            </a:ext>
          </a:extLst>
        </xdr:cNvPr>
        <xdr:cNvSpPr/>
      </xdr:nvSpPr>
      <xdr:spPr>
        <a:xfrm>
          <a:off x="6461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23</xdr:col>
      <xdr:colOff>0</xdr:colOff>
      <xdr:row>4</xdr:row>
      <xdr:rowOff>95250</xdr:rowOff>
    </xdr:from>
    <xdr:to>
      <xdr:col>106</xdr:col>
      <xdr:colOff>0</xdr:colOff>
      <xdr:row>314</xdr:row>
      <xdr:rowOff>0</xdr:rowOff>
    </xdr:to>
    <xdr:cxnSp macro="">
      <xdr:nvCxnSpPr>
        <xdr:cNvPr id="920" name="OpenSolver359">
          <a:extLst>
            <a:ext uri="{FF2B5EF4-FFF2-40B4-BE49-F238E27FC236}">
              <a16:creationId xmlns:a16="http://schemas.microsoft.com/office/drawing/2014/main" xmlns="" id="{00000000-0008-0000-0200-000098030000}"/>
            </a:ext>
          </a:extLst>
        </xdr:cNvPr>
        <xdr:cNvCxnSpPr>
          <a:stCxn id="918" idx="3"/>
          <a:endCxn id="919" idx="1"/>
        </xdr:cNvCxnSpPr>
      </xdr:nvCxnSpPr>
      <xdr:spPr>
        <a:xfrm flipV="1">
          <a:off x="14020800" y="857250"/>
          <a:ext cx="50596800" cy="58959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114300</xdr:colOff>
      <xdr:row>158</xdr:row>
      <xdr:rowOff>111125</xdr:rowOff>
    </xdr:from>
    <xdr:to>
      <xdr:col>64</xdr:col>
      <xdr:colOff>495300</xdr:colOff>
      <xdr:row>159</xdr:row>
      <xdr:rowOff>174625</xdr:rowOff>
    </xdr:to>
    <xdr:sp macro="" textlink="">
      <xdr:nvSpPr>
        <xdr:cNvPr id="921" name="OpenSolver360">
          <a:extLst>
            <a:ext uri="{FF2B5EF4-FFF2-40B4-BE49-F238E27FC236}">
              <a16:creationId xmlns:a16="http://schemas.microsoft.com/office/drawing/2014/main" xmlns="" id="{00000000-0008-0000-0200-000099030000}"/>
            </a:ext>
          </a:extLst>
        </xdr:cNvPr>
        <xdr:cNvSpPr/>
      </xdr:nvSpPr>
      <xdr:spPr>
        <a:xfrm>
          <a:off x="39128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0</xdr:colOff>
      <xdr:row>315</xdr:row>
      <xdr:rowOff>0</xdr:rowOff>
    </xdr:from>
    <xdr:to>
      <xdr:col>23</xdr:col>
      <xdr:colOff>0</xdr:colOff>
      <xdr:row>317</xdr:row>
      <xdr:rowOff>0</xdr:rowOff>
    </xdr:to>
    <xdr:sp macro="" textlink="">
      <xdr:nvSpPr>
        <xdr:cNvPr id="922" name="OpenSolver361">
          <a:extLst>
            <a:ext uri="{FF2B5EF4-FFF2-40B4-BE49-F238E27FC236}">
              <a16:creationId xmlns:a16="http://schemas.microsoft.com/office/drawing/2014/main" xmlns="" id="{00000000-0008-0000-0200-00009A030000}"/>
            </a:ext>
          </a:extLst>
        </xdr:cNvPr>
        <xdr:cNvSpPr/>
      </xdr:nvSpPr>
      <xdr:spPr>
        <a:xfrm>
          <a:off x="134112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107</xdr:col>
      <xdr:colOff>0</xdr:colOff>
      <xdr:row>4</xdr:row>
      <xdr:rowOff>0</xdr:rowOff>
    </xdr:from>
    <xdr:to>
      <xdr:col>108</xdr:col>
      <xdr:colOff>0</xdr:colOff>
      <xdr:row>5</xdr:row>
      <xdr:rowOff>0</xdr:rowOff>
    </xdr:to>
    <xdr:sp macro="" textlink="">
      <xdr:nvSpPr>
        <xdr:cNvPr id="923" name="OpenSolver362">
          <a:extLst>
            <a:ext uri="{FF2B5EF4-FFF2-40B4-BE49-F238E27FC236}">
              <a16:creationId xmlns:a16="http://schemas.microsoft.com/office/drawing/2014/main" xmlns="" id="{00000000-0008-0000-0200-00009B030000}"/>
            </a:ext>
          </a:extLst>
        </xdr:cNvPr>
        <xdr:cNvSpPr/>
      </xdr:nvSpPr>
      <xdr:spPr>
        <a:xfrm>
          <a:off x="6522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23</xdr:col>
      <xdr:colOff>0</xdr:colOff>
      <xdr:row>4</xdr:row>
      <xdr:rowOff>95250</xdr:rowOff>
    </xdr:from>
    <xdr:to>
      <xdr:col>107</xdr:col>
      <xdr:colOff>0</xdr:colOff>
      <xdr:row>316</xdr:row>
      <xdr:rowOff>0</xdr:rowOff>
    </xdr:to>
    <xdr:cxnSp macro="">
      <xdr:nvCxnSpPr>
        <xdr:cNvPr id="924" name="OpenSolver363">
          <a:extLst>
            <a:ext uri="{FF2B5EF4-FFF2-40B4-BE49-F238E27FC236}">
              <a16:creationId xmlns:a16="http://schemas.microsoft.com/office/drawing/2014/main" xmlns="" id="{00000000-0008-0000-0200-00009C030000}"/>
            </a:ext>
          </a:extLst>
        </xdr:cNvPr>
        <xdr:cNvCxnSpPr>
          <a:stCxn id="922" idx="3"/>
          <a:endCxn id="923" idx="1"/>
        </xdr:cNvCxnSpPr>
      </xdr:nvCxnSpPr>
      <xdr:spPr>
        <a:xfrm flipV="1">
          <a:off x="14020800" y="857250"/>
          <a:ext cx="51206400" cy="59340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419100</xdr:colOff>
      <xdr:row>159</xdr:row>
      <xdr:rowOff>111125</xdr:rowOff>
    </xdr:from>
    <xdr:to>
      <xdr:col>65</xdr:col>
      <xdr:colOff>190500</xdr:colOff>
      <xdr:row>160</xdr:row>
      <xdr:rowOff>174625</xdr:rowOff>
    </xdr:to>
    <xdr:sp macro="" textlink="">
      <xdr:nvSpPr>
        <xdr:cNvPr id="925" name="OpenSolver364">
          <a:extLst>
            <a:ext uri="{FF2B5EF4-FFF2-40B4-BE49-F238E27FC236}">
              <a16:creationId xmlns:a16="http://schemas.microsoft.com/office/drawing/2014/main" xmlns="" id="{00000000-0008-0000-0200-00009D030000}"/>
            </a:ext>
          </a:extLst>
        </xdr:cNvPr>
        <xdr:cNvSpPr/>
      </xdr:nvSpPr>
      <xdr:spPr>
        <a:xfrm>
          <a:off x="39433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18</xdr:row>
      <xdr:rowOff>0</xdr:rowOff>
    </xdr:from>
    <xdr:to>
      <xdr:col>25</xdr:col>
      <xdr:colOff>0</xdr:colOff>
      <xdr:row>102</xdr:row>
      <xdr:rowOff>0</xdr:rowOff>
    </xdr:to>
    <xdr:sp macro="" textlink="">
      <xdr:nvSpPr>
        <xdr:cNvPr id="926" name="OpenSolver365">
          <a:extLst>
            <a:ext uri="{FF2B5EF4-FFF2-40B4-BE49-F238E27FC236}">
              <a16:creationId xmlns:a16="http://schemas.microsoft.com/office/drawing/2014/main" xmlns="" id="{00000000-0008-0000-0200-00009E030000}"/>
            </a:ext>
          </a:extLst>
        </xdr:cNvPr>
        <xdr:cNvSpPr/>
      </xdr:nvSpPr>
      <xdr:spPr>
        <a:xfrm>
          <a:off x="146304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108</xdr:col>
      <xdr:colOff>0</xdr:colOff>
      <xdr:row>4</xdr:row>
      <xdr:rowOff>0</xdr:rowOff>
    </xdr:from>
    <xdr:to>
      <xdr:col>109</xdr:col>
      <xdr:colOff>0</xdr:colOff>
      <xdr:row>5</xdr:row>
      <xdr:rowOff>0</xdr:rowOff>
    </xdr:to>
    <xdr:sp macro="" textlink="">
      <xdr:nvSpPr>
        <xdr:cNvPr id="927" name="OpenSolver366">
          <a:extLst>
            <a:ext uri="{FF2B5EF4-FFF2-40B4-BE49-F238E27FC236}">
              <a16:creationId xmlns:a16="http://schemas.microsoft.com/office/drawing/2014/main" xmlns="" id="{00000000-0008-0000-0200-00009F030000}"/>
            </a:ext>
          </a:extLst>
        </xdr:cNvPr>
        <xdr:cNvSpPr/>
      </xdr:nvSpPr>
      <xdr:spPr>
        <a:xfrm>
          <a:off x="6583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108</xdr:col>
      <xdr:colOff>0</xdr:colOff>
      <xdr:row>18</xdr:row>
      <xdr:rowOff>0</xdr:rowOff>
    </xdr:to>
    <xdr:cxnSp macro="">
      <xdr:nvCxnSpPr>
        <xdr:cNvPr id="928" name="OpenSolver367">
          <a:extLst>
            <a:ext uri="{FF2B5EF4-FFF2-40B4-BE49-F238E27FC236}">
              <a16:creationId xmlns:a16="http://schemas.microsoft.com/office/drawing/2014/main" xmlns="" id="{00000000-0008-0000-0200-0000A0030000}"/>
            </a:ext>
          </a:extLst>
        </xdr:cNvPr>
        <xdr:cNvCxnSpPr>
          <a:stCxn id="926" idx="0"/>
          <a:endCxn id="927" idx="1"/>
        </xdr:cNvCxnSpPr>
      </xdr:nvCxnSpPr>
      <xdr:spPr>
        <a:xfrm flipV="1">
          <a:off x="14935200" y="857250"/>
          <a:ext cx="50901600" cy="2571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571500</xdr:colOff>
      <xdr:row>10</xdr:row>
      <xdr:rowOff>111125</xdr:rowOff>
    </xdr:from>
    <xdr:to>
      <xdr:col>66</xdr:col>
      <xdr:colOff>342900</xdr:colOff>
      <xdr:row>11</xdr:row>
      <xdr:rowOff>174625</xdr:rowOff>
    </xdr:to>
    <xdr:sp macro="" textlink="">
      <xdr:nvSpPr>
        <xdr:cNvPr id="929" name="OpenSolver368">
          <a:extLst>
            <a:ext uri="{FF2B5EF4-FFF2-40B4-BE49-F238E27FC236}">
              <a16:creationId xmlns:a16="http://schemas.microsoft.com/office/drawing/2014/main" xmlns="" id="{00000000-0008-0000-0200-0000A1030000}"/>
            </a:ext>
          </a:extLst>
        </xdr:cNvPr>
        <xdr:cNvSpPr/>
      </xdr:nvSpPr>
      <xdr:spPr>
        <a:xfrm>
          <a:off x="401955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102</xdr:row>
      <xdr:rowOff>0</xdr:rowOff>
    </xdr:from>
    <xdr:to>
      <xdr:col>25</xdr:col>
      <xdr:colOff>0</xdr:colOff>
      <xdr:row>127</xdr:row>
      <xdr:rowOff>0</xdr:rowOff>
    </xdr:to>
    <xdr:sp macro="" textlink="">
      <xdr:nvSpPr>
        <xdr:cNvPr id="930" name="OpenSolver369">
          <a:extLst>
            <a:ext uri="{FF2B5EF4-FFF2-40B4-BE49-F238E27FC236}">
              <a16:creationId xmlns:a16="http://schemas.microsoft.com/office/drawing/2014/main" xmlns="" id="{00000000-0008-0000-0200-0000A2030000}"/>
            </a:ext>
          </a:extLst>
        </xdr:cNvPr>
        <xdr:cNvSpPr/>
      </xdr:nvSpPr>
      <xdr:spPr>
        <a:xfrm>
          <a:off x="146304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109</xdr:col>
      <xdr:colOff>0</xdr:colOff>
      <xdr:row>4</xdr:row>
      <xdr:rowOff>0</xdr:rowOff>
    </xdr:from>
    <xdr:to>
      <xdr:col>110</xdr:col>
      <xdr:colOff>0</xdr:colOff>
      <xdr:row>5</xdr:row>
      <xdr:rowOff>0</xdr:rowOff>
    </xdr:to>
    <xdr:sp macro="" textlink="">
      <xdr:nvSpPr>
        <xdr:cNvPr id="931" name="OpenSolver370">
          <a:extLst>
            <a:ext uri="{FF2B5EF4-FFF2-40B4-BE49-F238E27FC236}">
              <a16:creationId xmlns:a16="http://schemas.microsoft.com/office/drawing/2014/main" xmlns="" id="{00000000-0008-0000-0200-0000A3030000}"/>
            </a:ext>
          </a:extLst>
        </xdr:cNvPr>
        <xdr:cNvSpPr/>
      </xdr:nvSpPr>
      <xdr:spPr>
        <a:xfrm>
          <a:off x="6644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109</xdr:col>
      <xdr:colOff>0</xdr:colOff>
      <xdr:row>102</xdr:row>
      <xdr:rowOff>0</xdr:rowOff>
    </xdr:to>
    <xdr:cxnSp macro="">
      <xdr:nvCxnSpPr>
        <xdr:cNvPr id="932" name="OpenSolver371">
          <a:extLst>
            <a:ext uri="{FF2B5EF4-FFF2-40B4-BE49-F238E27FC236}">
              <a16:creationId xmlns:a16="http://schemas.microsoft.com/office/drawing/2014/main" xmlns="" id="{00000000-0008-0000-0200-0000A4030000}"/>
            </a:ext>
          </a:extLst>
        </xdr:cNvPr>
        <xdr:cNvCxnSpPr>
          <a:stCxn id="930" idx="0"/>
          <a:endCxn id="931" idx="1"/>
        </xdr:cNvCxnSpPr>
      </xdr:nvCxnSpPr>
      <xdr:spPr>
        <a:xfrm flipV="1">
          <a:off x="14935200" y="857250"/>
          <a:ext cx="51511200" cy="1857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266700</xdr:colOff>
      <xdr:row>52</xdr:row>
      <xdr:rowOff>111125</xdr:rowOff>
    </xdr:from>
    <xdr:to>
      <xdr:col>67</xdr:col>
      <xdr:colOff>38100</xdr:colOff>
      <xdr:row>53</xdr:row>
      <xdr:rowOff>174625</xdr:rowOff>
    </xdr:to>
    <xdr:sp macro="" textlink="">
      <xdr:nvSpPr>
        <xdr:cNvPr id="933" name="OpenSolver372">
          <a:extLst>
            <a:ext uri="{FF2B5EF4-FFF2-40B4-BE49-F238E27FC236}">
              <a16:creationId xmlns:a16="http://schemas.microsoft.com/office/drawing/2014/main" xmlns="" id="{00000000-0008-0000-0200-0000A5030000}"/>
            </a:ext>
          </a:extLst>
        </xdr:cNvPr>
        <xdr:cNvSpPr/>
      </xdr:nvSpPr>
      <xdr:spPr>
        <a:xfrm>
          <a:off x="405003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127</xdr:row>
      <xdr:rowOff>0</xdr:rowOff>
    </xdr:from>
    <xdr:to>
      <xdr:col>25</xdr:col>
      <xdr:colOff>0</xdr:colOff>
      <xdr:row>135</xdr:row>
      <xdr:rowOff>0</xdr:rowOff>
    </xdr:to>
    <xdr:sp macro="" textlink="">
      <xdr:nvSpPr>
        <xdr:cNvPr id="934" name="OpenSolver373">
          <a:extLst>
            <a:ext uri="{FF2B5EF4-FFF2-40B4-BE49-F238E27FC236}">
              <a16:creationId xmlns:a16="http://schemas.microsoft.com/office/drawing/2014/main" xmlns="" id="{00000000-0008-0000-0200-0000A6030000}"/>
            </a:ext>
          </a:extLst>
        </xdr:cNvPr>
        <xdr:cNvSpPr/>
      </xdr:nvSpPr>
      <xdr:spPr>
        <a:xfrm>
          <a:off x="146304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110</xdr:col>
      <xdr:colOff>0</xdr:colOff>
      <xdr:row>4</xdr:row>
      <xdr:rowOff>0</xdr:rowOff>
    </xdr:from>
    <xdr:to>
      <xdr:col>111</xdr:col>
      <xdr:colOff>0</xdr:colOff>
      <xdr:row>5</xdr:row>
      <xdr:rowOff>0</xdr:rowOff>
    </xdr:to>
    <xdr:sp macro="" textlink="">
      <xdr:nvSpPr>
        <xdr:cNvPr id="935" name="OpenSolver374">
          <a:extLst>
            <a:ext uri="{FF2B5EF4-FFF2-40B4-BE49-F238E27FC236}">
              <a16:creationId xmlns:a16="http://schemas.microsoft.com/office/drawing/2014/main" xmlns="" id="{00000000-0008-0000-0200-0000A7030000}"/>
            </a:ext>
          </a:extLst>
        </xdr:cNvPr>
        <xdr:cNvSpPr/>
      </xdr:nvSpPr>
      <xdr:spPr>
        <a:xfrm>
          <a:off x="6705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110</xdr:col>
      <xdr:colOff>0</xdr:colOff>
      <xdr:row>127</xdr:row>
      <xdr:rowOff>0</xdr:rowOff>
    </xdr:to>
    <xdr:cxnSp macro="">
      <xdr:nvCxnSpPr>
        <xdr:cNvPr id="936" name="OpenSolver375">
          <a:extLst>
            <a:ext uri="{FF2B5EF4-FFF2-40B4-BE49-F238E27FC236}">
              <a16:creationId xmlns:a16="http://schemas.microsoft.com/office/drawing/2014/main" xmlns="" id="{00000000-0008-0000-0200-0000A8030000}"/>
            </a:ext>
          </a:extLst>
        </xdr:cNvPr>
        <xdr:cNvCxnSpPr>
          <a:stCxn id="934" idx="0"/>
          <a:endCxn id="935" idx="1"/>
        </xdr:cNvCxnSpPr>
      </xdr:nvCxnSpPr>
      <xdr:spPr>
        <a:xfrm flipV="1">
          <a:off x="14935200" y="857250"/>
          <a:ext cx="52120800" cy="23336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571500</xdr:colOff>
      <xdr:row>65</xdr:row>
      <xdr:rowOff>15875</xdr:rowOff>
    </xdr:from>
    <xdr:to>
      <xdr:col>67</xdr:col>
      <xdr:colOff>342900</xdr:colOff>
      <xdr:row>66</xdr:row>
      <xdr:rowOff>79375</xdr:rowOff>
    </xdr:to>
    <xdr:sp macro="" textlink="">
      <xdr:nvSpPr>
        <xdr:cNvPr id="937" name="OpenSolver376">
          <a:extLst>
            <a:ext uri="{FF2B5EF4-FFF2-40B4-BE49-F238E27FC236}">
              <a16:creationId xmlns:a16="http://schemas.microsoft.com/office/drawing/2014/main" xmlns="" id="{00000000-0008-0000-0200-0000A9030000}"/>
            </a:ext>
          </a:extLst>
        </xdr:cNvPr>
        <xdr:cNvSpPr/>
      </xdr:nvSpPr>
      <xdr:spPr>
        <a:xfrm>
          <a:off x="408051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135</xdr:row>
      <xdr:rowOff>0</xdr:rowOff>
    </xdr:from>
    <xdr:to>
      <xdr:col>25</xdr:col>
      <xdr:colOff>0</xdr:colOff>
      <xdr:row>142</xdr:row>
      <xdr:rowOff>0</xdr:rowOff>
    </xdr:to>
    <xdr:sp macro="" textlink="">
      <xdr:nvSpPr>
        <xdr:cNvPr id="938" name="OpenSolver377">
          <a:extLst>
            <a:ext uri="{FF2B5EF4-FFF2-40B4-BE49-F238E27FC236}">
              <a16:creationId xmlns:a16="http://schemas.microsoft.com/office/drawing/2014/main" xmlns="" id="{00000000-0008-0000-0200-0000AA030000}"/>
            </a:ext>
          </a:extLst>
        </xdr:cNvPr>
        <xdr:cNvSpPr/>
      </xdr:nvSpPr>
      <xdr:spPr>
        <a:xfrm>
          <a:off x="146304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111</xdr:col>
      <xdr:colOff>0</xdr:colOff>
      <xdr:row>4</xdr:row>
      <xdr:rowOff>0</xdr:rowOff>
    </xdr:from>
    <xdr:to>
      <xdr:col>112</xdr:col>
      <xdr:colOff>0</xdr:colOff>
      <xdr:row>5</xdr:row>
      <xdr:rowOff>0</xdr:rowOff>
    </xdr:to>
    <xdr:sp macro="" textlink="">
      <xdr:nvSpPr>
        <xdr:cNvPr id="939" name="OpenSolver378">
          <a:extLst>
            <a:ext uri="{FF2B5EF4-FFF2-40B4-BE49-F238E27FC236}">
              <a16:creationId xmlns:a16="http://schemas.microsoft.com/office/drawing/2014/main" xmlns="" id="{00000000-0008-0000-0200-0000AB030000}"/>
            </a:ext>
          </a:extLst>
        </xdr:cNvPr>
        <xdr:cNvSpPr/>
      </xdr:nvSpPr>
      <xdr:spPr>
        <a:xfrm>
          <a:off x="6766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111</xdr:col>
      <xdr:colOff>0</xdr:colOff>
      <xdr:row>135</xdr:row>
      <xdr:rowOff>0</xdr:rowOff>
    </xdr:to>
    <xdr:cxnSp macro="">
      <xdr:nvCxnSpPr>
        <xdr:cNvPr id="940" name="OpenSolver379">
          <a:extLst>
            <a:ext uri="{FF2B5EF4-FFF2-40B4-BE49-F238E27FC236}">
              <a16:creationId xmlns:a16="http://schemas.microsoft.com/office/drawing/2014/main" xmlns="" id="{00000000-0008-0000-0200-0000AC030000}"/>
            </a:ext>
          </a:extLst>
        </xdr:cNvPr>
        <xdr:cNvCxnSpPr>
          <a:stCxn id="938" idx="0"/>
          <a:endCxn id="939" idx="1"/>
        </xdr:cNvCxnSpPr>
      </xdr:nvCxnSpPr>
      <xdr:spPr>
        <a:xfrm flipV="1">
          <a:off x="14935200" y="857250"/>
          <a:ext cx="52730400" cy="24860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266700</xdr:colOff>
      <xdr:row>69</xdr:row>
      <xdr:rowOff>15875</xdr:rowOff>
    </xdr:from>
    <xdr:to>
      <xdr:col>68</xdr:col>
      <xdr:colOff>38100</xdr:colOff>
      <xdr:row>70</xdr:row>
      <xdr:rowOff>79375</xdr:rowOff>
    </xdr:to>
    <xdr:sp macro="" textlink="">
      <xdr:nvSpPr>
        <xdr:cNvPr id="941" name="OpenSolver380">
          <a:extLst>
            <a:ext uri="{FF2B5EF4-FFF2-40B4-BE49-F238E27FC236}">
              <a16:creationId xmlns:a16="http://schemas.microsoft.com/office/drawing/2014/main" xmlns="" id="{00000000-0008-0000-0200-0000AD030000}"/>
            </a:ext>
          </a:extLst>
        </xdr:cNvPr>
        <xdr:cNvSpPr/>
      </xdr:nvSpPr>
      <xdr:spPr>
        <a:xfrm>
          <a:off x="41109900" y="13160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142</xdr:row>
      <xdr:rowOff>0</xdr:rowOff>
    </xdr:from>
    <xdr:to>
      <xdr:col>25</xdr:col>
      <xdr:colOff>0</xdr:colOff>
      <xdr:row>277</xdr:row>
      <xdr:rowOff>0</xdr:rowOff>
    </xdr:to>
    <xdr:sp macro="" textlink="">
      <xdr:nvSpPr>
        <xdr:cNvPr id="942" name="OpenSolver381">
          <a:extLst>
            <a:ext uri="{FF2B5EF4-FFF2-40B4-BE49-F238E27FC236}">
              <a16:creationId xmlns:a16="http://schemas.microsoft.com/office/drawing/2014/main" xmlns="" id="{00000000-0008-0000-0200-0000AE030000}"/>
            </a:ext>
          </a:extLst>
        </xdr:cNvPr>
        <xdr:cNvSpPr/>
      </xdr:nvSpPr>
      <xdr:spPr>
        <a:xfrm>
          <a:off x="146304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112</xdr:col>
      <xdr:colOff>0</xdr:colOff>
      <xdr:row>4</xdr:row>
      <xdr:rowOff>0</xdr:rowOff>
    </xdr:from>
    <xdr:to>
      <xdr:col>113</xdr:col>
      <xdr:colOff>0</xdr:colOff>
      <xdr:row>5</xdr:row>
      <xdr:rowOff>0</xdr:rowOff>
    </xdr:to>
    <xdr:sp macro="" textlink="">
      <xdr:nvSpPr>
        <xdr:cNvPr id="943" name="OpenSolver382">
          <a:extLst>
            <a:ext uri="{FF2B5EF4-FFF2-40B4-BE49-F238E27FC236}">
              <a16:creationId xmlns:a16="http://schemas.microsoft.com/office/drawing/2014/main" xmlns="" id="{00000000-0008-0000-0200-0000AF030000}"/>
            </a:ext>
          </a:extLst>
        </xdr:cNvPr>
        <xdr:cNvSpPr/>
      </xdr:nvSpPr>
      <xdr:spPr>
        <a:xfrm>
          <a:off x="6827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112</xdr:col>
      <xdr:colOff>0</xdr:colOff>
      <xdr:row>142</xdr:row>
      <xdr:rowOff>0</xdr:rowOff>
    </xdr:to>
    <xdr:cxnSp macro="">
      <xdr:nvCxnSpPr>
        <xdr:cNvPr id="944" name="OpenSolver383">
          <a:extLst>
            <a:ext uri="{FF2B5EF4-FFF2-40B4-BE49-F238E27FC236}">
              <a16:creationId xmlns:a16="http://schemas.microsoft.com/office/drawing/2014/main" xmlns="" id="{00000000-0008-0000-0200-0000B0030000}"/>
            </a:ext>
          </a:extLst>
        </xdr:cNvPr>
        <xdr:cNvCxnSpPr>
          <a:stCxn id="942" idx="0"/>
          <a:endCxn id="943" idx="1"/>
        </xdr:cNvCxnSpPr>
      </xdr:nvCxnSpPr>
      <xdr:spPr>
        <a:xfrm flipV="1">
          <a:off x="14935200" y="857250"/>
          <a:ext cx="53340000" cy="26193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571500</xdr:colOff>
      <xdr:row>72</xdr:row>
      <xdr:rowOff>111125</xdr:rowOff>
    </xdr:from>
    <xdr:to>
      <xdr:col>68</xdr:col>
      <xdr:colOff>342900</xdr:colOff>
      <xdr:row>73</xdr:row>
      <xdr:rowOff>174625</xdr:rowOff>
    </xdr:to>
    <xdr:sp macro="" textlink="">
      <xdr:nvSpPr>
        <xdr:cNvPr id="945" name="OpenSolver384">
          <a:extLst>
            <a:ext uri="{FF2B5EF4-FFF2-40B4-BE49-F238E27FC236}">
              <a16:creationId xmlns:a16="http://schemas.microsoft.com/office/drawing/2014/main" xmlns="" id="{00000000-0008-0000-0200-0000B1030000}"/>
            </a:ext>
          </a:extLst>
        </xdr:cNvPr>
        <xdr:cNvSpPr/>
      </xdr:nvSpPr>
      <xdr:spPr>
        <a:xfrm>
          <a:off x="414147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277</xdr:row>
      <xdr:rowOff>0</xdr:rowOff>
    </xdr:from>
    <xdr:to>
      <xdr:col>25</xdr:col>
      <xdr:colOff>0</xdr:colOff>
      <xdr:row>304</xdr:row>
      <xdr:rowOff>0</xdr:rowOff>
    </xdr:to>
    <xdr:sp macro="" textlink="">
      <xdr:nvSpPr>
        <xdr:cNvPr id="946" name="OpenSolver385">
          <a:extLst>
            <a:ext uri="{FF2B5EF4-FFF2-40B4-BE49-F238E27FC236}">
              <a16:creationId xmlns:a16="http://schemas.microsoft.com/office/drawing/2014/main" xmlns="" id="{00000000-0008-0000-0200-0000B2030000}"/>
            </a:ext>
          </a:extLst>
        </xdr:cNvPr>
        <xdr:cNvSpPr/>
      </xdr:nvSpPr>
      <xdr:spPr>
        <a:xfrm>
          <a:off x="146304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113</xdr:col>
      <xdr:colOff>0</xdr:colOff>
      <xdr:row>4</xdr:row>
      <xdr:rowOff>0</xdr:rowOff>
    </xdr:from>
    <xdr:to>
      <xdr:col>114</xdr:col>
      <xdr:colOff>0</xdr:colOff>
      <xdr:row>5</xdr:row>
      <xdr:rowOff>0</xdr:rowOff>
    </xdr:to>
    <xdr:sp macro="" textlink="">
      <xdr:nvSpPr>
        <xdr:cNvPr id="947" name="OpenSolver386">
          <a:extLst>
            <a:ext uri="{FF2B5EF4-FFF2-40B4-BE49-F238E27FC236}">
              <a16:creationId xmlns:a16="http://schemas.microsoft.com/office/drawing/2014/main" xmlns="" id="{00000000-0008-0000-0200-0000B3030000}"/>
            </a:ext>
          </a:extLst>
        </xdr:cNvPr>
        <xdr:cNvSpPr/>
      </xdr:nvSpPr>
      <xdr:spPr>
        <a:xfrm>
          <a:off x="6888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113</xdr:col>
      <xdr:colOff>0</xdr:colOff>
      <xdr:row>277</xdr:row>
      <xdr:rowOff>0</xdr:rowOff>
    </xdr:to>
    <xdr:cxnSp macro="">
      <xdr:nvCxnSpPr>
        <xdr:cNvPr id="948" name="OpenSolver387">
          <a:extLst>
            <a:ext uri="{FF2B5EF4-FFF2-40B4-BE49-F238E27FC236}">
              <a16:creationId xmlns:a16="http://schemas.microsoft.com/office/drawing/2014/main" xmlns="" id="{00000000-0008-0000-0200-0000B4030000}"/>
            </a:ext>
          </a:extLst>
        </xdr:cNvPr>
        <xdr:cNvCxnSpPr>
          <a:stCxn id="946" idx="0"/>
          <a:endCxn id="947" idx="1"/>
        </xdr:cNvCxnSpPr>
      </xdr:nvCxnSpPr>
      <xdr:spPr>
        <a:xfrm flipV="1">
          <a:off x="14935200" y="857250"/>
          <a:ext cx="53949600" cy="519112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266700</xdr:colOff>
      <xdr:row>140</xdr:row>
      <xdr:rowOff>15875</xdr:rowOff>
    </xdr:from>
    <xdr:to>
      <xdr:col>69</xdr:col>
      <xdr:colOff>38100</xdr:colOff>
      <xdr:row>141</xdr:row>
      <xdr:rowOff>79375</xdr:rowOff>
    </xdr:to>
    <xdr:sp macro="" textlink="">
      <xdr:nvSpPr>
        <xdr:cNvPr id="949" name="OpenSolver388">
          <a:extLst>
            <a:ext uri="{FF2B5EF4-FFF2-40B4-BE49-F238E27FC236}">
              <a16:creationId xmlns:a16="http://schemas.microsoft.com/office/drawing/2014/main" xmlns="" id="{00000000-0008-0000-0200-0000B5030000}"/>
            </a:ext>
          </a:extLst>
        </xdr:cNvPr>
        <xdr:cNvSpPr/>
      </xdr:nvSpPr>
      <xdr:spPr>
        <a:xfrm>
          <a:off x="417195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304</xdr:row>
      <xdr:rowOff>0</xdr:rowOff>
    </xdr:from>
    <xdr:to>
      <xdr:col>25</xdr:col>
      <xdr:colOff>0</xdr:colOff>
      <xdr:row>313</xdr:row>
      <xdr:rowOff>0</xdr:rowOff>
    </xdr:to>
    <xdr:sp macro="" textlink="">
      <xdr:nvSpPr>
        <xdr:cNvPr id="950" name="OpenSolver389">
          <a:extLst>
            <a:ext uri="{FF2B5EF4-FFF2-40B4-BE49-F238E27FC236}">
              <a16:creationId xmlns:a16="http://schemas.microsoft.com/office/drawing/2014/main" xmlns="" id="{00000000-0008-0000-0200-0000B6030000}"/>
            </a:ext>
          </a:extLst>
        </xdr:cNvPr>
        <xdr:cNvSpPr/>
      </xdr:nvSpPr>
      <xdr:spPr>
        <a:xfrm>
          <a:off x="146304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114</xdr:col>
      <xdr:colOff>0</xdr:colOff>
      <xdr:row>4</xdr:row>
      <xdr:rowOff>0</xdr:rowOff>
    </xdr:from>
    <xdr:to>
      <xdr:col>115</xdr:col>
      <xdr:colOff>0</xdr:colOff>
      <xdr:row>5</xdr:row>
      <xdr:rowOff>0</xdr:rowOff>
    </xdr:to>
    <xdr:sp macro="" textlink="">
      <xdr:nvSpPr>
        <xdr:cNvPr id="951" name="OpenSolver390">
          <a:extLst>
            <a:ext uri="{FF2B5EF4-FFF2-40B4-BE49-F238E27FC236}">
              <a16:creationId xmlns:a16="http://schemas.microsoft.com/office/drawing/2014/main" xmlns="" id="{00000000-0008-0000-0200-0000B7030000}"/>
            </a:ext>
          </a:extLst>
        </xdr:cNvPr>
        <xdr:cNvSpPr/>
      </xdr:nvSpPr>
      <xdr:spPr>
        <a:xfrm>
          <a:off x="6949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24</xdr:col>
      <xdr:colOff>304800</xdr:colOff>
      <xdr:row>4</xdr:row>
      <xdr:rowOff>95250</xdr:rowOff>
    </xdr:from>
    <xdr:to>
      <xdr:col>114</xdr:col>
      <xdr:colOff>0</xdr:colOff>
      <xdr:row>304</xdr:row>
      <xdr:rowOff>0</xdr:rowOff>
    </xdr:to>
    <xdr:cxnSp macro="">
      <xdr:nvCxnSpPr>
        <xdr:cNvPr id="952" name="OpenSolver391">
          <a:extLst>
            <a:ext uri="{FF2B5EF4-FFF2-40B4-BE49-F238E27FC236}">
              <a16:creationId xmlns:a16="http://schemas.microsoft.com/office/drawing/2014/main" xmlns="" id="{00000000-0008-0000-0200-0000B8030000}"/>
            </a:ext>
          </a:extLst>
        </xdr:cNvPr>
        <xdr:cNvCxnSpPr>
          <a:stCxn id="950" idx="0"/>
          <a:endCxn id="951" idx="1"/>
        </xdr:cNvCxnSpPr>
      </xdr:nvCxnSpPr>
      <xdr:spPr>
        <a:xfrm flipV="1">
          <a:off x="14935200" y="857250"/>
          <a:ext cx="54559200" cy="57054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68</xdr:col>
      <xdr:colOff>571500</xdr:colOff>
      <xdr:row>153</xdr:row>
      <xdr:rowOff>111125</xdr:rowOff>
    </xdr:from>
    <xdr:to>
      <xdr:col>69</xdr:col>
      <xdr:colOff>342900</xdr:colOff>
      <xdr:row>154</xdr:row>
      <xdr:rowOff>174625</xdr:rowOff>
    </xdr:to>
    <xdr:sp macro="" textlink="">
      <xdr:nvSpPr>
        <xdr:cNvPr id="953" name="OpenSolver392">
          <a:extLst>
            <a:ext uri="{FF2B5EF4-FFF2-40B4-BE49-F238E27FC236}">
              <a16:creationId xmlns:a16="http://schemas.microsoft.com/office/drawing/2014/main" xmlns="" id="{00000000-0008-0000-0200-0000B9030000}"/>
            </a:ext>
          </a:extLst>
        </xdr:cNvPr>
        <xdr:cNvSpPr/>
      </xdr:nvSpPr>
      <xdr:spPr>
        <a:xfrm>
          <a:off x="420243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313</xdr:row>
      <xdr:rowOff>0</xdr:rowOff>
    </xdr:from>
    <xdr:to>
      <xdr:col>25</xdr:col>
      <xdr:colOff>0</xdr:colOff>
      <xdr:row>315</xdr:row>
      <xdr:rowOff>0</xdr:rowOff>
    </xdr:to>
    <xdr:sp macro="" textlink="">
      <xdr:nvSpPr>
        <xdr:cNvPr id="954" name="OpenSolver393">
          <a:extLst>
            <a:ext uri="{FF2B5EF4-FFF2-40B4-BE49-F238E27FC236}">
              <a16:creationId xmlns:a16="http://schemas.microsoft.com/office/drawing/2014/main" xmlns="" id="{00000000-0008-0000-0200-0000BA030000}"/>
            </a:ext>
          </a:extLst>
        </xdr:cNvPr>
        <xdr:cNvSpPr/>
      </xdr:nvSpPr>
      <xdr:spPr>
        <a:xfrm>
          <a:off x="146304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115</xdr:col>
      <xdr:colOff>0</xdr:colOff>
      <xdr:row>4</xdr:row>
      <xdr:rowOff>0</xdr:rowOff>
    </xdr:from>
    <xdr:to>
      <xdr:col>116</xdr:col>
      <xdr:colOff>0</xdr:colOff>
      <xdr:row>5</xdr:row>
      <xdr:rowOff>0</xdr:rowOff>
    </xdr:to>
    <xdr:sp macro="" textlink="">
      <xdr:nvSpPr>
        <xdr:cNvPr id="955" name="OpenSolver394">
          <a:extLst>
            <a:ext uri="{FF2B5EF4-FFF2-40B4-BE49-F238E27FC236}">
              <a16:creationId xmlns:a16="http://schemas.microsoft.com/office/drawing/2014/main" xmlns="" id="{00000000-0008-0000-0200-0000BB030000}"/>
            </a:ext>
          </a:extLst>
        </xdr:cNvPr>
        <xdr:cNvSpPr/>
      </xdr:nvSpPr>
      <xdr:spPr>
        <a:xfrm>
          <a:off x="7010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25</xdr:col>
      <xdr:colOff>0</xdr:colOff>
      <xdr:row>4</xdr:row>
      <xdr:rowOff>95250</xdr:rowOff>
    </xdr:from>
    <xdr:to>
      <xdr:col>115</xdr:col>
      <xdr:colOff>0</xdr:colOff>
      <xdr:row>314</xdr:row>
      <xdr:rowOff>0</xdr:rowOff>
    </xdr:to>
    <xdr:cxnSp macro="">
      <xdr:nvCxnSpPr>
        <xdr:cNvPr id="956" name="OpenSolver395">
          <a:extLst>
            <a:ext uri="{FF2B5EF4-FFF2-40B4-BE49-F238E27FC236}">
              <a16:creationId xmlns:a16="http://schemas.microsoft.com/office/drawing/2014/main" xmlns="" id="{00000000-0008-0000-0200-0000BC030000}"/>
            </a:ext>
          </a:extLst>
        </xdr:cNvPr>
        <xdr:cNvCxnSpPr>
          <a:stCxn id="954" idx="3"/>
          <a:endCxn id="955" idx="1"/>
        </xdr:cNvCxnSpPr>
      </xdr:nvCxnSpPr>
      <xdr:spPr>
        <a:xfrm flipV="1">
          <a:off x="15240000" y="857250"/>
          <a:ext cx="54864000" cy="58959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419100</xdr:colOff>
      <xdr:row>158</xdr:row>
      <xdr:rowOff>111125</xdr:rowOff>
    </xdr:from>
    <xdr:to>
      <xdr:col>70</xdr:col>
      <xdr:colOff>190500</xdr:colOff>
      <xdr:row>159</xdr:row>
      <xdr:rowOff>174625</xdr:rowOff>
    </xdr:to>
    <xdr:sp macro="" textlink="">
      <xdr:nvSpPr>
        <xdr:cNvPr id="957" name="OpenSolver396">
          <a:extLst>
            <a:ext uri="{FF2B5EF4-FFF2-40B4-BE49-F238E27FC236}">
              <a16:creationId xmlns:a16="http://schemas.microsoft.com/office/drawing/2014/main" xmlns="" id="{00000000-0008-0000-0200-0000BD030000}"/>
            </a:ext>
          </a:extLst>
        </xdr:cNvPr>
        <xdr:cNvSpPr/>
      </xdr:nvSpPr>
      <xdr:spPr>
        <a:xfrm>
          <a:off x="424815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0</xdr:colOff>
      <xdr:row>315</xdr:row>
      <xdr:rowOff>0</xdr:rowOff>
    </xdr:from>
    <xdr:to>
      <xdr:col>25</xdr:col>
      <xdr:colOff>0</xdr:colOff>
      <xdr:row>317</xdr:row>
      <xdr:rowOff>0</xdr:rowOff>
    </xdr:to>
    <xdr:sp macro="" textlink="">
      <xdr:nvSpPr>
        <xdr:cNvPr id="958" name="OpenSolver397">
          <a:extLst>
            <a:ext uri="{FF2B5EF4-FFF2-40B4-BE49-F238E27FC236}">
              <a16:creationId xmlns:a16="http://schemas.microsoft.com/office/drawing/2014/main" xmlns="" id="{00000000-0008-0000-0200-0000BE030000}"/>
            </a:ext>
          </a:extLst>
        </xdr:cNvPr>
        <xdr:cNvSpPr/>
      </xdr:nvSpPr>
      <xdr:spPr>
        <a:xfrm>
          <a:off x="146304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116</xdr:col>
      <xdr:colOff>0</xdr:colOff>
      <xdr:row>4</xdr:row>
      <xdr:rowOff>0</xdr:rowOff>
    </xdr:from>
    <xdr:to>
      <xdr:col>117</xdr:col>
      <xdr:colOff>0</xdr:colOff>
      <xdr:row>5</xdr:row>
      <xdr:rowOff>0</xdr:rowOff>
    </xdr:to>
    <xdr:sp macro="" textlink="">
      <xdr:nvSpPr>
        <xdr:cNvPr id="959" name="OpenSolver398">
          <a:extLst>
            <a:ext uri="{FF2B5EF4-FFF2-40B4-BE49-F238E27FC236}">
              <a16:creationId xmlns:a16="http://schemas.microsoft.com/office/drawing/2014/main" xmlns="" id="{00000000-0008-0000-0200-0000BF030000}"/>
            </a:ext>
          </a:extLst>
        </xdr:cNvPr>
        <xdr:cNvSpPr/>
      </xdr:nvSpPr>
      <xdr:spPr>
        <a:xfrm>
          <a:off x="7071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25</xdr:col>
      <xdr:colOff>0</xdr:colOff>
      <xdr:row>4</xdr:row>
      <xdr:rowOff>95250</xdr:rowOff>
    </xdr:from>
    <xdr:to>
      <xdr:col>116</xdr:col>
      <xdr:colOff>0</xdr:colOff>
      <xdr:row>316</xdr:row>
      <xdr:rowOff>0</xdr:rowOff>
    </xdr:to>
    <xdr:cxnSp macro="">
      <xdr:nvCxnSpPr>
        <xdr:cNvPr id="960" name="OpenSolver399">
          <a:extLst>
            <a:ext uri="{FF2B5EF4-FFF2-40B4-BE49-F238E27FC236}">
              <a16:creationId xmlns:a16="http://schemas.microsoft.com/office/drawing/2014/main" xmlns="" id="{00000000-0008-0000-0200-0000C0030000}"/>
            </a:ext>
          </a:extLst>
        </xdr:cNvPr>
        <xdr:cNvCxnSpPr>
          <a:stCxn id="958" idx="3"/>
          <a:endCxn id="959" idx="1"/>
        </xdr:cNvCxnSpPr>
      </xdr:nvCxnSpPr>
      <xdr:spPr>
        <a:xfrm flipV="1">
          <a:off x="15240000" y="857250"/>
          <a:ext cx="55473600" cy="59340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114300</xdr:colOff>
      <xdr:row>159</xdr:row>
      <xdr:rowOff>111125</xdr:rowOff>
    </xdr:from>
    <xdr:to>
      <xdr:col>70</xdr:col>
      <xdr:colOff>495300</xdr:colOff>
      <xdr:row>160</xdr:row>
      <xdr:rowOff>174625</xdr:rowOff>
    </xdr:to>
    <xdr:sp macro="" textlink="">
      <xdr:nvSpPr>
        <xdr:cNvPr id="961" name="OpenSolver400">
          <a:extLst>
            <a:ext uri="{FF2B5EF4-FFF2-40B4-BE49-F238E27FC236}">
              <a16:creationId xmlns:a16="http://schemas.microsoft.com/office/drawing/2014/main" xmlns="" id="{00000000-0008-0000-0200-0000C1030000}"/>
            </a:ext>
          </a:extLst>
        </xdr:cNvPr>
        <xdr:cNvSpPr/>
      </xdr:nvSpPr>
      <xdr:spPr>
        <a:xfrm>
          <a:off x="427863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18</xdr:row>
      <xdr:rowOff>0</xdr:rowOff>
    </xdr:from>
    <xdr:to>
      <xdr:col>27</xdr:col>
      <xdr:colOff>0</xdr:colOff>
      <xdr:row>102</xdr:row>
      <xdr:rowOff>0</xdr:rowOff>
    </xdr:to>
    <xdr:sp macro="" textlink="">
      <xdr:nvSpPr>
        <xdr:cNvPr id="962" name="OpenSolver401">
          <a:extLst>
            <a:ext uri="{FF2B5EF4-FFF2-40B4-BE49-F238E27FC236}">
              <a16:creationId xmlns:a16="http://schemas.microsoft.com/office/drawing/2014/main" xmlns="" id="{00000000-0008-0000-0200-0000C2030000}"/>
            </a:ext>
          </a:extLst>
        </xdr:cNvPr>
        <xdr:cNvSpPr/>
      </xdr:nvSpPr>
      <xdr:spPr>
        <a:xfrm>
          <a:off x="15849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117</xdr:col>
      <xdr:colOff>0</xdr:colOff>
      <xdr:row>4</xdr:row>
      <xdr:rowOff>0</xdr:rowOff>
    </xdr:from>
    <xdr:to>
      <xdr:col>118</xdr:col>
      <xdr:colOff>0</xdr:colOff>
      <xdr:row>5</xdr:row>
      <xdr:rowOff>0</xdr:rowOff>
    </xdr:to>
    <xdr:sp macro="" textlink="">
      <xdr:nvSpPr>
        <xdr:cNvPr id="963" name="OpenSolver402">
          <a:extLst>
            <a:ext uri="{FF2B5EF4-FFF2-40B4-BE49-F238E27FC236}">
              <a16:creationId xmlns:a16="http://schemas.microsoft.com/office/drawing/2014/main" xmlns="" id="{00000000-0008-0000-0200-0000C3030000}"/>
            </a:ext>
          </a:extLst>
        </xdr:cNvPr>
        <xdr:cNvSpPr/>
      </xdr:nvSpPr>
      <xdr:spPr>
        <a:xfrm>
          <a:off x="7132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117</xdr:col>
      <xdr:colOff>0</xdr:colOff>
      <xdr:row>18</xdr:row>
      <xdr:rowOff>0</xdr:rowOff>
    </xdr:to>
    <xdr:cxnSp macro="">
      <xdr:nvCxnSpPr>
        <xdr:cNvPr id="964" name="OpenSolver403">
          <a:extLst>
            <a:ext uri="{FF2B5EF4-FFF2-40B4-BE49-F238E27FC236}">
              <a16:creationId xmlns:a16="http://schemas.microsoft.com/office/drawing/2014/main" xmlns="" id="{00000000-0008-0000-0200-0000C4030000}"/>
            </a:ext>
          </a:extLst>
        </xdr:cNvPr>
        <xdr:cNvCxnSpPr>
          <a:stCxn id="962" idx="0"/>
          <a:endCxn id="963" idx="1"/>
        </xdr:cNvCxnSpPr>
      </xdr:nvCxnSpPr>
      <xdr:spPr>
        <a:xfrm flipV="1">
          <a:off x="16154400" y="857250"/>
          <a:ext cx="55168800" cy="2571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266700</xdr:colOff>
      <xdr:row>10</xdr:row>
      <xdr:rowOff>111125</xdr:rowOff>
    </xdr:from>
    <xdr:to>
      <xdr:col>72</xdr:col>
      <xdr:colOff>38100</xdr:colOff>
      <xdr:row>11</xdr:row>
      <xdr:rowOff>174625</xdr:rowOff>
    </xdr:to>
    <xdr:sp macro="" textlink="">
      <xdr:nvSpPr>
        <xdr:cNvPr id="965" name="OpenSolver404">
          <a:extLst>
            <a:ext uri="{FF2B5EF4-FFF2-40B4-BE49-F238E27FC236}">
              <a16:creationId xmlns:a16="http://schemas.microsoft.com/office/drawing/2014/main" xmlns="" id="{00000000-0008-0000-0200-0000C5030000}"/>
            </a:ext>
          </a:extLst>
        </xdr:cNvPr>
        <xdr:cNvSpPr/>
      </xdr:nvSpPr>
      <xdr:spPr>
        <a:xfrm>
          <a:off x="435483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102</xdr:row>
      <xdr:rowOff>0</xdr:rowOff>
    </xdr:from>
    <xdr:to>
      <xdr:col>27</xdr:col>
      <xdr:colOff>0</xdr:colOff>
      <xdr:row>127</xdr:row>
      <xdr:rowOff>0</xdr:rowOff>
    </xdr:to>
    <xdr:sp macro="" textlink="">
      <xdr:nvSpPr>
        <xdr:cNvPr id="966" name="OpenSolver405">
          <a:extLst>
            <a:ext uri="{FF2B5EF4-FFF2-40B4-BE49-F238E27FC236}">
              <a16:creationId xmlns:a16="http://schemas.microsoft.com/office/drawing/2014/main" xmlns="" id="{00000000-0008-0000-0200-0000C6030000}"/>
            </a:ext>
          </a:extLst>
        </xdr:cNvPr>
        <xdr:cNvSpPr/>
      </xdr:nvSpPr>
      <xdr:spPr>
        <a:xfrm>
          <a:off x="15849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118</xdr:col>
      <xdr:colOff>0</xdr:colOff>
      <xdr:row>4</xdr:row>
      <xdr:rowOff>0</xdr:rowOff>
    </xdr:from>
    <xdr:to>
      <xdr:col>119</xdr:col>
      <xdr:colOff>0</xdr:colOff>
      <xdr:row>5</xdr:row>
      <xdr:rowOff>0</xdr:rowOff>
    </xdr:to>
    <xdr:sp macro="" textlink="">
      <xdr:nvSpPr>
        <xdr:cNvPr id="967" name="OpenSolver406">
          <a:extLst>
            <a:ext uri="{FF2B5EF4-FFF2-40B4-BE49-F238E27FC236}">
              <a16:creationId xmlns:a16="http://schemas.microsoft.com/office/drawing/2014/main" xmlns="" id="{00000000-0008-0000-0200-0000C7030000}"/>
            </a:ext>
          </a:extLst>
        </xdr:cNvPr>
        <xdr:cNvSpPr/>
      </xdr:nvSpPr>
      <xdr:spPr>
        <a:xfrm>
          <a:off x="7193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118</xdr:col>
      <xdr:colOff>0</xdr:colOff>
      <xdr:row>102</xdr:row>
      <xdr:rowOff>0</xdr:rowOff>
    </xdr:to>
    <xdr:cxnSp macro="">
      <xdr:nvCxnSpPr>
        <xdr:cNvPr id="968" name="OpenSolver407">
          <a:extLst>
            <a:ext uri="{FF2B5EF4-FFF2-40B4-BE49-F238E27FC236}">
              <a16:creationId xmlns:a16="http://schemas.microsoft.com/office/drawing/2014/main" xmlns="" id="{00000000-0008-0000-0200-0000C8030000}"/>
            </a:ext>
          </a:extLst>
        </xdr:cNvPr>
        <xdr:cNvCxnSpPr>
          <a:stCxn id="966" idx="0"/>
          <a:endCxn id="967" idx="1"/>
        </xdr:cNvCxnSpPr>
      </xdr:nvCxnSpPr>
      <xdr:spPr>
        <a:xfrm flipV="1">
          <a:off x="16154400" y="857250"/>
          <a:ext cx="55778400" cy="1857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571500</xdr:colOff>
      <xdr:row>52</xdr:row>
      <xdr:rowOff>111125</xdr:rowOff>
    </xdr:from>
    <xdr:to>
      <xdr:col>72</xdr:col>
      <xdr:colOff>342900</xdr:colOff>
      <xdr:row>53</xdr:row>
      <xdr:rowOff>174625</xdr:rowOff>
    </xdr:to>
    <xdr:sp macro="" textlink="">
      <xdr:nvSpPr>
        <xdr:cNvPr id="969" name="OpenSolver408">
          <a:extLst>
            <a:ext uri="{FF2B5EF4-FFF2-40B4-BE49-F238E27FC236}">
              <a16:creationId xmlns:a16="http://schemas.microsoft.com/office/drawing/2014/main" xmlns="" id="{00000000-0008-0000-0200-0000C9030000}"/>
            </a:ext>
          </a:extLst>
        </xdr:cNvPr>
        <xdr:cNvSpPr/>
      </xdr:nvSpPr>
      <xdr:spPr>
        <a:xfrm>
          <a:off x="438531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127</xdr:row>
      <xdr:rowOff>0</xdr:rowOff>
    </xdr:from>
    <xdr:to>
      <xdr:col>27</xdr:col>
      <xdr:colOff>0</xdr:colOff>
      <xdr:row>135</xdr:row>
      <xdr:rowOff>0</xdr:rowOff>
    </xdr:to>
    <xdr:sp macro="" textlink="">
      <xdr:nvSpPr>
        <xdr:cNvPr id="970" name="OpenSolver409">
          <a:extLst>
            <a:ext uri="{FF2B5EF4-FFF2-40B4-BE49-F238E27FC236}">
              <a16:creationId xmlns:a16="http://schemas.microsoft.com/office/drawing/2014/main" xmlns="" id="{00000000-0008-0000-0200-0000CA030000}"/>
            </a:ext>
          </a:extLst>
        </xdr:cNvPr>
        <xdr:cNvSpPr/>
      </xdr:nvSpPr>
      <xdr:spPr>
        <a:xfrm>
          <a:off x="15849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119</xdr:col>
      <xdr:colOff>0</xdr:colOff>
      <xdr:row>4</xdr:row>
      <xdr:rowOff>0</xdr:rowOff>
    </xdr:from>
    <xdr:to>
      <xdr:col>120</xdr:col>
      <xdr:colOff>0</xdr:colOff>
      <xdr:row>5</xdr:row>
      <xdr:rowOff>0</xdr:rowOff>
    </xdr:to>
    <xdr:sp macro="" textlink="">
      <xdr:nvSpPr>
        <xdr:cNvPr id="971" name="OpenSolver410">
          <a:extLst>
            <a:ext uri="{FF2B5EF4-FFF2-40B4-BE49-F238E27FC236}">
              <a16:creationId xmlns:a16="http://schemas.microsoft.com/office/drawing/2014/main" xmlns="" id="{00000000-0008-0000-0200-0000CB030000}"/>
            </a:ext>
          </a:extLst>
        </xdr:cNvPr>
        <xdr:cNvSpPr/>
      </xdr:nvSpPr>
      <xdr:spPr>
        <a:xfrm>
          <a:off x="7254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119</xdr:col>
      <xdr:colOff>0</xdr:colOff>
      <xdr:row>127</xdr:row>
      <xdr:rowOff>0</xdr:rowOff>
    </xdr:to>
    <xdr:cxnSp macro="">
      <xdr:nvCxnSpPr>
        <xdr:cNvPr id="972" name="OpenSolver411">
          <a:extLst>
            <a:ext uri="{FF2B5EF4-FFF2-40B4-BE49-F238E27FC236}">
              <a16:creationId xmlns:a16="http://schemas.microsoft.com/office/drawing/2014/main" xmlns="" id="{00000000-0008-0000-0200-0000CC030000}"/>
            </a:ext>
          </a:extLst>
        </xdr:cNvPr>
        <xdr:cNvCxnSpPr>
          <a:stCxn id="970" idx="0"/>
          <a:endCxn id="971" idx="1"/>
        </xdr:cNvCxnSpPr>
      </xdr:nvCxnSpPr>
      <xdr:spPr>
        <a:xfrm flipV="1">
          <a:off x="16154400" y="857250"/>
          <a:ext cx="56388000" cy="23336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72</xdr:col>
      <xdr:colOff>266700</xdr:colOff>
      <xdr:row>65</xdr:row>
      <xdr:rowOff>15875</xdr:rowOff>
    </xdr:from>
    <xdr:to>
      <xdr:col>73</xdr:col>
      <xdr:colOff>38100</xdr:colOff>
      <xdr:row>66</xdr:row>
      <xdr:rowOff>79375</xdr:rowOff>
    </xdr:to>
    <xdr:sp macro="" textlink="">
      <xdr:nvSpPr>
        <xdr:cNvPr id="973" name="OpenSolver412">
          <a:extLst>
            <a:ext uri="{FF2B5EF4-FFF2-40B4-BE49-F238E27FC236}">
              <a16:creationId xmlns:a16="http://schemas.microsoft.com/office/drawing/2014/main" xmlns="" id="{00000000-0008-0000-0200-0000CD030000}"/>
            </a:ext>
          </a:extLst>
        </xdr:cNvPr>
        <xdr:cNvSpPr/>
      </xdr:nvSpPr>
      <xdr:spPr>
        <a:xfrm>
          <a:off x="44157900" y="12398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135</xdr:row>
      <xdr:rowOff>0</xdr:rowOff>
    </xdr:from>
    <xdr:to>
      <xdr:col>27</xdr:col>
      <xdr:colOff>0</xdr:colOff>
      <xdr:row>142</xdr:row>
      <xdr:rowOff>0</xdr:rowOff>
    </xdr:to>
    <xdr:sp macro="" textlink="">
      <xdr:nvSpPr>
        <xdr:cNvPr id="974" name="OpenSolver413">
          <a:extLst>
            <a:ext uri="{FF2B5EF4-FFF2-40B4-BE49-F238E27FC236}">
              <a16:creationId xmlns:a16="http://schemas.microsoft.com/office/drawing/2014/main" xmlns="" id="{00000000-0008-0000-0200-0000CE030000}"/>
            </a:ext>
          </a:extLst>
        </xdr:cNvPr>
        <xdr:cNvSpPr/>
      </xdr:nvSpPr>
      <xdr:spPr>
        <a:xfrm>
          <a:off x="15849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120</xdr:col>
      <xdr:colOff>0</xdr:colOff>
      <xdr:row>4</xdr:row>
      <xdr:rowOff>0</xdr:rowOff>
    </xdr:from>
    <xdr:to>
      <xdr:col>121</xdr:col>
      <xdr:colOff>0</xdr:colOff>
      <xdr:row>5</xdr:row>
      <xdr:rowOff>0</xdr:rowOff>
    </xdr:to>
    <xdr:sp macro="" textlink="">
      <xdr:nvSpPr>
        <xdr:cNvPr id="975" name="OpenSolver414">
          <a:extLst>
            <a:ext uri="{FF2B5EF4-FFF2-40B4-BE49-F238E27FC236}">
              <a16:creationId xmlns:a16="http://schemas.microsoft.com/office/drawing/2014/main" xmlns="" id="{00000000-0008-0000-0200-0000CF030000}"/>
            </a:ext>
          </a:extLst>
        </xdr:cNvPr>
        <xdr:cNvSpPr/>
      </xdr:nvSpPr>
      <xdr:spPr>
        <a:xfrm>
          <a:off x="7315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27</xdr:col>
      <xdr:colOff>0</xdr:colOff>
      <xdr:row>4</xdr:row>
      <xdr:rowOff>95250</xdr:rowOff>
    </xdr:from>
    <xdr:to>
      <xdr:col>120</xdr:col>
      <xdr:colOff>0</xdr:colOff>
      <xdr:row>138</xdr:row>
      <xdr:rowOff>95250</xdr:rowOff>
    </xdr:to>
    <xdr:cxnSp macro="">
      <xdr:nvCxnSpPr>
        <xdr:cNvPr id="976" name="OpenSolver415">
          <a:extLst>
            <a:ext uri="{FF2B5EF4-FFF2-40B4-BE49-F238E27FC236}">
              <a16:creationId xmlns:a16="http://schemas.microsoft.com/office/drawing/2014/main" xmlns="" id="{00000000-0008-0000-0200-0000D0030000}"/>
            </a:ext>
          </a:extLst>
        </xdr:cNvPr>
        <xdr:cNvCxnSpPr>
          <a:stCxn id="974" idx="3"/>
          <a:endCxn id="975" idx="1"/>
        </xdr:cNvCxnSpPr>
      </xdr:nvCxnSpPr>
      <xdr:spPr>
        <a:xfrm flipV="1">
          <a:off x="16459200" y="857250"/>
          <a:ext cx="56692800" cy="255270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114300</xdr:colOff>
      <xdr:row>70</xdr:row>
      <xdr:rowOff>158750</xdr:rowOff>
    </xdr:from>
    <xdr:to>
      <xdr:col>73</xdr:col>
      <xdr:colOff>495300</xdr:colOff>
      <xdr:row>72</xdr:row>
      <xdr:rowOff>31750</xdr:rowOff>
    </xdr:to>
    <xdr:sp macro="" textlink="">
      <xdr:nvSpPr>
        <xdr:cNvPr id="977" name="OpenSolver416">
          <a:extLst>
            <a:ext uri="{FF2B5EF4-FFF2-40B4-BE49-F238E27FC236}">
              <a16:creationId xmlns:a16="http://schemas.microsoft.com/office/drawing/2014/main" xmlns="" id="{00000000-0008-0000-0200-0000D1030000}"/>
            </a:ext>
          </a:extLst>
        </xdr:cNvPr>
        <xdr:cNvSpPr/>
      </xdr:nvSpPr>
      <xdr:spPr>
        <a:xfrm>
          <a:off x="446151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142</xdr:row>
      <xdr:rowOff>0</xdr:rowOff>
    </xdr:from>
    <xdr:to>
      <xdr:col>27</xdr:col>
      <xdr:colOff>0</xdr:colOff>
      <xdr:row>277</xdr:row>
      <xdr:rowOff>0</xdr:rowOff>
    </xdr:to>
    <xdr:sp macro="" textlink="">
      <xdr:nvSpPr>
        <xdr:cNvPr id="978" name="OpenSolver417">
          <a:extLst>
            <a:ext uri="{FF2B5EF4-FFF2-40B4-BE49-F238E27FC236}">
              <a16:creationId xmlns:a16="http://schemas.microsoft.com/office/drawing/2014/main" xmlns="" id="{00000000-0008-0000-0200-0000D2030000}"/>
            </a:ext>
          </a:extLst>
        </xdr:cNvPr>
        <xdr:cNvSpPr/>
      </xdr:nvSpPr>
      <xdr:spPr>
        <a:xfrm>
          <a:off x="15849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121</xdr:col>
      <xdr:colOff>0</xdr:colOff>
      <xdr:row>4</xdr:row>
      <xdr:rowOff>0</xdr:rowOff>
    </xdr:from>
    <xdr:to>
      <xdr:col>122</xdr:col>
      <xdr:colOff>0</xdr:colOff>
      <xdr:row>5</xdr:row>
      <xdr:rowOff>0</xdr:rowOff>
    </xdr:to>
    <xdr:sp macro="" textlink="">
      <xdr:nvSpPr>
        <xdr:cNvPr id="979" name="OpenSolver418">
          <a:extLst>
            <a:ext uri="{FF2B5EF4-FFF2-40B4-BE49-F238E27FC236}">
              <a16:creationId xmlns:a16="http://schemas.microsoft.com/office/drawing/2014/main" xmlns="" id="{00000000-0008-0000-0200-0000D3030000}"/>
            </a:ext>
          </a:extLst>
        </xdr:cNvPr>
        <xdr:cNvSpPr/>
      </xdr:nvSpPr>
      <xdr:spPr>
        <a:xfrm>
          <a:off x="7376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121</xdr:col>
      <xdr:colOff>0</xdr:colOff>
      <xdr:row>142</xdr:row>
      <xdr:rowOff>0</xdr:rowOff>
    </xdr:to>
    <xdr:cxnSp macro="">
      <xdr:nvCxnSpPr>
        <xdr:cNvPr id="980" name="OpenSolver419">
          <a:extLst>
            <a:ext uri="{FF2B5EF4-FFF2-40B4-BE49-F238E27FC236}">
              <a16:creationId xmlns:a16="http://schemas.microsoft.com/office/drawing/2014/main" xmlns="" id="{00000000-0008-0000-0200-0000D4030000}"/>
            </a:ext>
          </a:extLst>
        </xdr:cNvPr>
        <xdr:cNvCxnSpPr>
          <a:stCxn id="978" idx="0"/>
          <a:endCxn id="979" idx="1"/>
        </xdr:cNvCxnSpPr>
      </xdr:nvCxnSpPr>
      <xdr:spPr>
        <a:xfrm flipV="1">
          <a:off x="16154400" y="857250"/>
          <a:ext cx="57607200" cy="26193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266700</xdr:colOff>
      <xdr:row>72</xdr:row>
      <xdr:rowOff>111125</xdr:rowOff>
    </xdr:from>
    <xdr:to>
      <xdr:col>74</xdr:col>
      <xdr:colOff>38100</xdr:colOff>
      <xdr:row>73</xdr:row>
      <xdr:rowOff>174625</xdr:rowOff>
    </xdr:to>
    <xdr:sp macro="" textlink="">
      <xdr:nvSpPr>
        <xdr:cNvPr id="981" name="OpenSolver420">
          <a:extLst>
            <a:ext uri="{FF2B5EF4-FFF2-40B4-BE49-F238E27FC236}">
              <a16:creationId xmlns:a16="http://schemas.microsoft.com/office/drawing/2014/main" xmlns="" id="{00000000-0008-0000-0200-0000D5030000}"/>
            </a:ext>
          </a:extLst>
        </xdr:cNvPr>
        <xdr:cNvSpPr/>
      </xdr:nvSpPr>
      <xdr:spPr>
        <a:xfrm>
          <a:off x="447675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277</xdr:row>
      <xdr:rowOff>0</xdr:rowOff>
    </xdr:from>
    <xdr:to>
      <xdr:col>27</xdr:col>
      <xdr:colOff>0</xdr:colOff>
      <xdr:row>304</xdr:row>
      <xdr:rowOff>0</xdr:rowOff>
    </xdr:to>
    <xdr:sp macro="" textlink="">
      <xdr:nvSpPr>
        <xdr:cNvPr id="982" name="OpenSolver421">
          <a:extLst>
            <a:ext uri="{FF2B5EF4-FFF2-40B4-BE49-F238E27FC236}">
              <a16:creationId xmlns:a16="http://schemas.microsoft.com/office/drawing/2014/main" xmlns="" id="{00000000-0008-0000-0200-0000D6030000}"/>
            </a:ext>
          </a:extLst>
        </xdr:cNvPr>
        <xdr:cNvSpPr/>
      </xdr:nvSpPr>
      <xdr:spPr>
        <a:xfrm>
          <a:off x="15849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122</xdr:col>
      <xdr:colOff>0</xdr:colOff>
      <xdr:row>4</xdr:row>
      <xdr:rowOff>0</xdr:rowOff>
    </xdr:from>
    <xdr:to>
      <xdr:col>123</xdr:col>
      <xdr:colOff>0</xdr:colOff>
      <xdr:row>5</xdr:row>
      <xdr:rowOff>0</xdr:rowOff>
    </xdr:to>
    <xdr:sp macro="" textlink="">
      <xdr:nvSpPr>
        <xdr:cNvPr id="983" name="OpenSolver422">
          <a:extLst>
            <a:ext uri="{FF2B5EF4-FFF2-40B4-BE49-F238E27FC236}">
              <a16:creationId xmlns:a16="http://schemas.microsoft.com/office/drawing/2014/main" xmlns="" id="{00000000-0008-0000-0200-0000D7030000}"/>
            </a:ext>
          </a:extLst>
        </xdr:cNvPr>
        <xdr:cNvSpPr/>
      </xdr:nvSpPr>
      <xdr:spPr>
        <a:xfrm>
          <a:off x="7437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122</xdr:col>
      <xdr:colOff>0</xdr:colOff>
      <xdr:row>277</xdr:row>
      <xdr:rowOff>0</xdr:rowOff>
    </xdr:to>
    <xdr:cxnSp macro="">
      <xdr:nvCxnSpPr>
        <xdr:cNvPr id="984" name="OpenSolver423">
          <a:extLst>
            <a:ext uri="{FF2B5EF4-FFF2-40B4-BE49-F238E27FC236}">
              <a16:creationId xmlns:a16="http://schemas.microsoft.com/office/drawing/2014/main" xmlns="" id="{00000000-0008-0000-0200-0000D8030000}"/>
            </a:ext>
          </a:extLst>
        </xdr:cNvPr>
        <xdr:cNvCxnSpPr>
          <a:stCxn id="982" idx="0"/>
          <a:endCxn id="983" idx="1"/>
        </xdr:cNvCxnSpPr>
      </xdr:nvCxnSpPr>
      <xdr:spPr>
        <a:xfrm flipV="1">
          <a:off x="16154400" y="857250"/>
          <a:ext cx="58216800" cy="519112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73</xdr:col>
      <xdr:colOff>571500</xdr:colOff>
      <xdr:row>140</xdr:row>
      <xdr:rowOff>15875</xdr:rowOff>
    </xdr:from>
    <xdr:to>
      <xdr:col>74</xdr:col>
      <xdr:colOff>342900</xdr:colOff>
      <xdr:row>141</xdr:row>
      <xdr:rowOff>79375</xdr:rowOff>
    </xdr:to>
    <xdr:sp macro="" textlink="">
      <xdr:nvSpPr>
        <xdr:cNvPr id="985" name="OpenSolver424">
          <a:extLst>
            <a:ext uri="{FF2B5EF4-FFF2-40B4-BE49-F238E27FC236}">
              <a16:creationId xmlns:a16="http://schemas.microsoft.com/office/drawing/2014/main" xmlns="" id="{00000000-0008-0000-0200-0000D9030000}"/>
            </a:ext>
          </a:extLst>
        </xdr:cNvPr>
        <xdr:cNvSpPr/>
      </xdr:nvSpPr>
      <xdr:spPr>
        <a:xfrm>
          <a:off x="450723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304</xdr:row>
      <xdr:rowOff>0</xdr:rowOff>
    </xdr:from>
    <xdr:to>
      <xdr:col>27</xdr:col>
      <xdr:colOff>0</xdr:colOff>
      <xdr:row>313</xdr:row>
      <xdr:rowOff>0</xdr:rowOff>
    </xdr:to>
    <xdr:sp macro="" textlink="">
      <xdr:nvSpPr>
        <xdr:cNvPr id="986" name="OpenSolver425">
          <a:extLst>
            <a:ext uri="{FF2B5EF4-FFF2-40B4-BE49-F238E27FC236}">
              <a16:creationId xmlns:a16="http://schemas.microsoft.com/office/drawing/2014/main" xmlns="" id="{00000000-0008-0000-0200-0000DA030000}"/>
            </a:ext>
          </a:extLst>
        </xdr:cNvPr>
        <xdr:cNvSpPr/>
      </xdr:nvSpPr>
      <xdr:spPr>
        <a:xfrm>
          <a:off x="15849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123</xdr:col>
      <xdr:colOff>0</xdr:colOff>
      <xdr:row>4</xdr:row>
      <xdr:rowOff>0</xdr:rowOff>
    </xdr:from>
    <xdr:to>
      <xdr:col>124</xdr:col>
      <xdr:colOff>0</xdr:colOff>
      <xdr:row>5</xdr:row>
      <xdr:rowOff>0</xdr:rowOff>
    </xdr:to>
    <xdr:sp macro="" textlink="">
      <xdr:nvSpPr>
        <xdr:cNvPr id="987" name="OpenSolver426">
          <a:extLst>
            <a:ext uri="{FF2B5EF4-FFF2-40B4-BE49-F238E27FC236}">
              <a16:creationId xmlns:a16="http://schemas.microsoft.com/office/drawing/2014/main" xmlns="" id="{00000000-0008-0000-0200-0000DB030000}"/>
            </a:ext>
          </a:extLst>
        </xdr:cNvPr>
        <xdr:cNvSpPr/>
      </xdr:nvSpPr>
      <xdr:spPr>
        <a:xfrm>
          <a:off x="7498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26</xdr:col>
      <xdr:colOff>304800</xdr:colOff>
      <xdr:row>4</xdr:row>
      <xdr:rowOff>95250</xdr:rowOff>
    </xdr:from>
    <xdr:to>
      <xdr:col>123</xdr:col>
      <xdr:colOff>0</xdr:colOff>
      <xdr:row>304</xdr:row>
      <xdr:rowOff>0</xdr:rowOff>
    </xdr:to>
    <xdr:cxnSp macro="">
      <xdr:nvCxnSpPr>
        <xdr:cNvPr id="988" name="OpenSolver427">
          <a:extLst>
            <a:ext uri="{FF2B5EF4-FFF2-40B4-BE49-F238E27FC236}">
              <a16:creationId xmlns:a16="http://schemas.microsoft.com/office/drawing/2014/main" xmlns="" id="{00000000-0008-0000-0200-0000DC030000}"/>
            </a:ext>
          </a:extLst>
        </xdr:cNvPr>
        <xdr:cNvCxnSpPr>
          <a:stCxn id="986" idx="0"/>
          <a:endCxn id="987" idx="1"/>
        </xdr:cNvCxnSpPr>
      </xdr:nvCxnSpPr>
      <xdr:spPr>
        <a:xfrm flipV="1">
          <a:off x="16154400" y="857250"/>
          <a:ext cx="58826400" cy="57054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266700</xdr:colOff>
      <xdr:row>153</xdr:row>
      <xdr:rowOff>111125</xdr:rowOff>
    </xdr:from>
    <xdr:to>
      <xdr:col>75</xdr:col>
      <xdr:colOff>38100</xdr:colOff>
      <xdr:row>154</xdr:row>
      <xdr:rowOff>174625</xdr:rowOff>
    </xdr:to>
    <xdr:sp macro="" textlink="">
      <xdr:nvSpPr>
        <xdr:cNvPr id="989" name="OpenSolver428">
          <a:extLst>
            <a:ext uri="{FF2B5EF4-FFF2-40B4-BE49-F238E27FC236}">
              <a16:creationId xmlns:a16="http://schemas.microsoft.com/office/drawing/2014/main" xmlns="" id="{00000000-0008-0000-0200-0000DD030000}"/>
            </a:ext>
          </a:extLst>
        </xdr:cNvPr>
        <xdr:cNvSpPr/>
      </xdr:nvSpPr>
      <xdr:spPr>
        <a:xfrm>
          <a:off x="453771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313</xdr:row>
      <xdr:rowOff>0</xdr:rowOff>
    </xdr:from>
    <xdr:to>
      <xdr:col>27</xdr:col>
      <xdr:colOff>0</xdr:colOff>
      <xdr:row>315</xdr:row>
      <xdr:rowOff>0</xdr:rowOff>
    </xdr:to>
    <xdr:sp macro="" textlink="">
      <xdr:nvSpPr>
        <xdr:cNvPr id="990" name="OpenSolver429">
          <a:extLst>
            <a:ext uri="{FF2B5EF4-FFF2-40B4-BE49-F238E27FC236}">
              <a16:creationId xmlns:a16="http://schemas.microsoft.com/office/drawing/2014/main" xmlns="" id="{00000000-0008-0000-0200-0000DE030000}"/>
            </a:ext>
          </a:extLst>
        </xdr:cNvPr>
        <xdr:cNvSpPr/>
      </xdr:nvSpPr>
      <xdr:spPr>
        <a:xfrm>
          <a:off x="15849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124</xdr:col>
      <xdr:colOff>0</xdr:colOff>
      <xdr:row>4</xdr:row>
      <xdr:rowOff>0</xdr:rowOff>
    </xdr:from>
    <xdr:to>
      <xdr:col>125</xdr:col>
      <xdr:colOff>0</xdr:colOff>
      <xdr:row>5</xdr:row>
      <xdr:rowOff>0</xdr:rowOff>
    </xdr:to>
    <xdr:sp macro="" textlink="">
      <xdr:nvSpPr>
        <xdr:cNvPr id="991" name="OpenSolver430">
          <a:extLst>
            <a:ext uri="{FF2B5EF4-FFF2-40B4-BE49-F238E27FC236}">
              <a16:creationId xmlns:a16="http://schemas.microsoft.com/office/drawing/2014/main" xmlns="" id="{00000000-0008-0000-0200-0000DF030000}"/>
            </a:ext>
          </a:extLst>
        </xdr:cNvPr>
        <xdr:cNvSpPr/>
      </xdr:nvSpPr>
      <xdr:spPr>
        <a:xfrm>
          <a:off x="7559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27</xdr:col>
      <xdr:colOff>0</xdr:colOff>
      <xdr:row>4</xdr:row>
      <xdr:rowOff>95250</xdr:rowOff>
    </xdr:from>
    <xdr:to>
      <xdr:col>124</xdr:col>
      <xdr:colOff>0</xdr:colOff>
      <xdr:row>314</xdr:row>
      <xdr:rowOff>0</xdr:rowOff>
    </xdr:to>
    <xdr:cxnSp macro="">
      <xdr:nvCxnSpPr>
        <xdr:cNvPr id="992" name="OpenSolver431">
          <a:extLst>
            <a:ext uri="{FF2B5EF4-FFF2-40B4-BE49-F238E27FC236}">
              <a16:creationId xmlns:a16="http://schemas.microsoft.com/office/drawing/2014/main" xmlns="" id="{00000000-0008-0000-0200-0000E0030000}"/>
            </a:ext>
          </a:extLst>
        </xdr:cNvPr>
        <xdr:cNvCxnSpPr>
          <a:stCxn id="990" idx="3"/>
          <a:endCxn id="991" idx="1"/>
        </xdr:cNvCxnSpPr>
      </xdr:nvCxnSpPr>
      <xdr:spPr>
        <a:xfrm flipV="1">
          <a:off x="16459200" y="857250"/>
          <a:ext cx="59131200" cy="58959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114300</xdr:colOff>
      <xdr:row>158</xdr:row>
      <xdr:rowOff>111125</xdr:rowOff>
    </xdr:from>
    <xdr:to>
      <xdr:col>75</xdr:col>
      <xdr:colOff>495300</xdr:colOff>
      <xdr:row>159</xdr:row>
      <xdr:rowOff>174625</xdr:rowOff>
    </xdr:to>
    <xdr:sp macro="" textlink="">
      <xdr:nvSpPr>
        <xdr:cNvPr id="993" name="OpenSolver432">
          <a:extLst>
            <a:ext uri="{FF2B5EF4-FFF2-40B4-BE49-F238E27FC236}">
              <a16:creationId xmlns:a16="http://schemas.microsoft.com/office/drawing/2014/main" xmlns="" id="{00000000-0008-0000-0200-0000E1030000}"/>
            </a:ext>
          </a:extLst>
        </xdr:cNvPr>
        <xdr:cNvSpPr/>
      </xdr:nvSpPr>
      <xdr:spPr>
        <a:xfrm>
          <a:off x="458343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0</xdr:colOff>
      <xdr:row>315</xdr:row>
      <xdr:rowOff>0</xdr:rowOff>
    </xdr:from>
    <xdr:to>
      <xdr:col>27</xdr:col>
      <xdr:colOff>0</xdr:colOff>
      <xdr:row>317</xdr:row>
      <xdr:rowOff>0</xdr:rowOff>
    </xdr:to>
    <xdr:sp macro="" textlink="">
      <xdr:nvSpPr>
        <xdr:cNvPr id="994" name="OpenSolver433">
          <a:extLst>
            <a:ext uri="{FF2B5EF4-FFF2-40B4-BE49-F238E27FC236}">
              <a16:creationId xmlns:a16="http://schemas.microsoft.com/office/drawing/2014/main" xmlns="" id="{00000000-0008-0000-0200-0000E2030000}"/>
            </a:ext>
          </a:extLst>
        </xdr:cNvPr>
        <xdr:cNvSpPr/>
      </xdr:nvSpPr>
      <xdr:spPr>
        <a:xfrm>
          <a:off x="15849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125</xdr:col>
      <xdr:colOff>0</xdr:colOff>
      <xdr:row>4</xdr:row>
      <xdr:rowOff>0</xdr:rowOff>
    </xdr:from>
    <xdr:to>
      <xdr:col>126</xdr:col>
      <xdr:colOff>0</xdr:colOff>
      <xdr:row>5</xdr:row>
      <xdr:rowOff>0</xdr:rowOff>
    </xdr:to>
    <xdr:sp macro="" textlink="">
      <xdr:nvSpPr>
        <xdr:cNvPr id="995" name="OpenSolver434">
          <a:extLst>
            <a:ext uri="{FF2B5EF4-FFF2-40B4-BE49-F238E27FC236}">
              <a16:creationId xmlns:a16="http://schemas.microsoft.com/office/drawing/2014/main" xmlns="" id="{00000000-0008-0000-0200-0000E3030000}"/>
            </a:ext>
          </a:extLst>
        </xdr:cNvPr>
        <xdr:cNvSpPr/>
      </xdr:nvSpPr>
      <xdr:spPr>
        <a:xfrm>
          <a:off x="7620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27</xdr:col>
      <xdr:colOff>0</xdr:colOff>
      <xdr:row>4</xdr:row>
      <xdr:rowOff>95250</xdr:rowOff>
    </xdr:from>
    <xdr:to>
      <xdr:col>125</xdr:col>
      <xdr:colOff>0</xdr:colOff>
      <xdr:row>316</xdr:row>
      <xdr:rowOff>0</xdr:rowOff>
    </xdr:to>
    <xdr:cxnSp macro="">
      <xdr:nvCxnSpPr>
        <xdr:cNvPr id="996" name="OpenSolver435">
          <a:extLst>
            <a:ext uri="{FF2B5EF4-FFF2-40B4-BE49-F238E27FC236}">
              <a16:creationId xmlns:a16="http://schemas.microsoft.com/office/drawing/2014/main" xmlns="" id="{00000000-0008-0000-0200-0000E4030000}"/>
            </a:ext>
          </a:extLst>
        </xdr:cNvPr>
        <xdr:cNvCxnSpPr>
          <a:stCxn id="994" idx="3"/>
          <a:endCxn id="995" idx="1"/>
        </xdr:cNvCxnSpPr>
      </xdr:nvCxnSpPr>
      <xdr:spPr>
        <a:xfrm flipV="1">
          <a:off x="16459200" y="857250"/>
          <a:ext cx="59740800" cy="59340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419100</xdr:colOff>
      <xdr:row>159</xdr:row>
      <xdr:rowOff>111125</xdr:rowOff>
    </xdr:from>
    <xdr:to>
      <xdr:col>76</xdr:col>
      <xdr:colOff>190500</xdr:colOff>
      <xdr:row>160</xdr:row>
      <xdr:rowOff>174625</xdr:rowOff>
    </xdr:to>
    <xdr:sp macro="" textlink="">
      <xdr:nvSpPr>
        <xdr:cNvPr id="997" name="OpenSolver436">
          <a:extLst>
            <a:ext uri="{FF2B5EF4-FFF2-40B4-BE49-F238E27FC236}">
              <a16:creationId xmlns:a16="http://schemas.microsoft.com/office/drawing/2014/main" xmlns="" id="{00000000-0008-0000-0200-0000E5030000}"/>
            </a:ext>
          </a:extLst>
        </xdr:cNvPr>
        <xdr:cNvSpPr/>
      </xdr:nvSpPr>
      <xdr:spPr>
        <a:xfrm>
          <a:off x="461391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29</xdr:col>
      <xdr:colOff>0</xdr:colOff>
      <xdr:row>102</xdr:row>
      <xdr:rowOff>0</xdr:rowOff>
    </xdr:to>
    <xdr:sp macro="" textlink="">
      <xdr:nvSpPr>
        <xdr:cNvPr id="998" name="OpenSolver437">
          <a:extLst>
            <a:ext uri="{FF2B5EF4-FFF2-40B4-BE49-F238E27FC236}">
              <a16:creationId xmlns:a16="http://schemas.microsoft.com/office/drawing/2014/main" xmlns="" id="{00000000-0008-0000-0200-0000E6030000}"/>
            </a:ext>
          </a:extLst>
        </xdr:cNvPr>
        <xdr:cNvSpPr/>
      </xdr:nvSpPr>
      <xdr:spPr>
        <a:xfrm>
          <a:off x="170688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126</xdr:col>
      <xdr:colOff>0</xdr:colOff>
      <xdr:row>4</xdr:row>
      <xdr:rowOff>0</xdr:rowOff>
    </xdr:from>
    <xdr:to>
      <xdr:col>127</xdr:col>
      <xdr:colOff>0</xdr:colOff>
      <xdr:row>5</xdr:row>
      <xdr:rowOff>0</xdr:rowOff>
    </xdr:to>
    <xdr:sp macro="" textlink="">
      <xdr:nvSpPr>
        <xdr:cNvPr id="999" name="OpenSolver438">
          <a:extLst>
            <a:ext uri="{FF2B5EF4-FFF2-40B4-BE49-F238E27FC236}">
              <a16:creationId xmlns:a16="http://schemas.microsoft.com/office/drawing/2014/main" xmlns="" id="{00000000-0008-0000-0200-0000E7030000}"/>
            </a:ext>
          </a:extLst>
        </xdr:cNvPr>
        <xdr:cNvSpPr/>
      </xdr:nvSpPr>
      <xdr:spPr>
        <a:xfrm>
          <a:off x="7680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126</xdr:col>
      <xdr:colOff>0</xdr:colOff>
      <xdr:row>18</xdr:row>
      <xdr:rowOff>0</xdr:rowOff>
    </xdr:to>
    <xdr:cxnSp macro="">
      <xdr:nvCxnSpPr>
        <xdr:cNvPr id="1000" name="OpenSolver439">
          <a:extLst>
            <a:ext uri="{FF2B5EF4-FFF2-40B4-BE49-F238E27FC236}">
              <a16:creationId xmlns:a16="http://schemas.microsoft.com/office/drawing/2014/main" xmlns="" id="{00000000-0008-0000-0200-0000E8030000}"/>
            </a:ext>
          </a:extLst>
        </xdr:cNvPr>
        <xdr:cNvCxnSpPr>
          <a:stCxn id="998" idx="0"/>
          <a:endCxn id="999" idx="1"/>
        </xdr:cNvCxnSpPr>
      </xdr:nvCxnSpPr>
      <xdr:spPr>
        <a:xfrm flipV="1">
          <a:off x="17373600" y="857250"/>
          <a:ext cx="59436000" cy="2571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571500</xdr:colOff>
      <xdr:row>10</xdr:row>
      <xdr:rowOff>111125</xdr:rowOff>
    </xdr:from>
    <xdr:to>
      <xdr:col>77</xdr:col>
      <xdr:colOff>342900</xdr:colOff>
      <xdr:row>11</xdr:row>
      <xdr:rowOff>174625</xdr:rowOff>
    </xdr:to>
    <xdr:sp macro="" textlink="">
      <xdr:nvSpPr>
        <xdr:cNvPr id="1001" name="OpenSolver440">
          <a:extLst>
            <a:ext uri="{FF2B5EF4-FFF2-40B4-BE49-F238E27FC236}">
              <a16:creationId xmlns:a16="http://schemas.microsoft.com/office/drawing/2014/main" xmlns="" id="{00000000-0008-0000-0200-0000E9030000}"/>
            </a:ext>
          </a:extLst>
        </xdr:cNvPr>
        <xdr:cNvSpPr/>
      </xdr:nvSpPr>
      <xdr:spPr>
        <a:xfrm>
          <a:off x="469011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102</xdr:row>
      <xdr:rowOff>0</xdr:rowOff>
    </xdr:from>
    <xdr:to>
      <xdr:col>29</xdr:col>
      <xdr:colOff>0</xdr:colOff>
      <xdr:row>127</xdr:row>
      <xdr:rowOff>0</xdr:rowOff>
    </xdr:to>
    <xdr:sp macro="" textlink="">
      <xdr:nvSpPr>
        <xdr:cNvPr id="1002" name="OpenSolver441">
          <a:extLst>
            <a:ext uri="{FF2B5EF4-FFF2-40B4-BE49-F238E27FC236}">
              <a16:creationId xmlns:a16="http://schemas.microsoft.com/office/drawing/2014/main" xmlns="" id="{00000000-0008-0000-0200-0000EA030000}"/>
            </a:ext>
          </a:extLst>
        </xdr:cNvPr>
        <xdr:cNvSpPr/>
      </xdr:nvSpPr>
      <xdr:spPr>
        <a:xfrm>
          <a:off x="170688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127</xdr:col>
      <xdr:colOff>0</xdr:colOff>
      <xdr:row>4</xdr:row>
      <xdr:rowOff>0</xdr:rowOff>
    </xdr:from>
    <xdr:to>
      <xdr:col>128</xdr:col>
      <xdr:colOff>0</xdr:colOff>
      <xdr:row>5</xdr:row>
      <xdr:rowOff>0</xdr:rowOff>
    </xdr:to>
    <xdr:sp macro="" textlink="">
      <xdr:nvSpPr>
        <xdr:cNvPr id="1003" name="OpenSolver442">
          <a:extLst>
            <a:ext uri="{FF2B5EF4-FFF2-40B4-BE49-F238E27FC236}">
              <a16:creationId xmlns:a16="http://schemas.microsoft.com/office/drawing/2014/main" xmlns="" id="{00000000-0008-0000-0200-0000EB030000}"/>
            </a:ext>
          </a:extLst>
        </xdr:cNvPr>
        <xdr:cNvSpPr/>
      </xdr:nvSpPr>
      <xdr:spPr>
        <a:xfrm>
          <a:off x="7741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127</xdr:col>
      <xdr:colOff>0</xdr:colOff>
      <xdr:row>102</xdr:row>
      <xdr:rowOff>0</xdr:rowOff>
    </xdr:to>
    <xdr:cxnSp macro="">
      <xdr:nvCxnSpPr>
        <xdr:cNvPr id="1004" name="OpenSolver443">
          <a:extLst>
            <a:ext uri="{FF2B5EF4-FFF2-40B4-BE49-F238E27FC236}">
              <a16:creationId xmlns:a16="http://schemas.microsoft.com/office/drawing/2014/main" xmlns="" id="{00000000-0008-0000-0200-0000EC030000}"/>
            </a:ext>
          </a:extLst>
        </xdr:cNvPr>
        <xdr:cNvCxnSpPr>
          <a:stCxn id="1002" idx="0"/>
          <a:endCxn id="1003" idx="1"/>
        </xdr:cNvCxnSpPr>
      </xdr:nvCxnSpPr>
      <xdr:spPr>
        <a:xfrm flipV="1">
          <a:off x="17373600" y="857250"/>
          <a:ext cx="60045600" cy="1857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77</xdr:col>
      <xdr:colOff>266700</xdr:colOff>
      <xdr:row>52</xdr:row>
      <xdr:rowOff>111125</xdr:rowOff>
    </xdr:from>
    <xdr:to>
      <xdr:col>78</xdr:col>
      <xdr:colOff>38100</xdr:colOff>
      <xdr:row>53</xdr:row>
      <xdr:rowOff>174625</xdr:rowOff>
    </xdr:to>
    <xdr:sp macro="" textlink="">
      <xdr:nvSpPr>
        <xdr:cNvPr id="1005" name="OpenSolver444">
          <a:extLst>
            <a:ext uri="{FF2B5EF4-FFF2-40B4-BE49-F238E27FC236}">
              <a16:creationId xmlns:a16="http://schemas.microsoft.com/office/drawing/2014/main" xmlns="" id="{00000000-0008-0000-0200-0000ED030000}"/>
            </a:ext>
          </a:extLst>
        </xdr:cNvPr>
        <xdr:cNvSpPr/>
      </xdr:nvSpPr>
      <xdr:spPr>
        <a:xfrm>
          <a:off x="472059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127</xdr:row>
      <xdr:rowOff>0</xdr:rowOff>
    </xdr:from>
    <xdr:to>
      <xdr:col>29</xdr:col>
      <xdr:colOff>0</xdr:colOff>
      <xdr:row>135</xdr:row>
      <xdr:rowOff>0</xdr:rowOff>
    </xdr:to>
    <xdr:sp macro="" textlink="">
      <xdr:nvSpPr>
        <xdr:cNvPr id="1006" name="OpenSolver445">
          <a:extLst>
            <a:ext uri="{FF2B5EF4-FFF2-40B4-BE49-F238E27FC236}">
              <a16:creationId xmlns:a16="http://schemas.microsoft.com/office/drawing/2014/main" xmlns="" id="{00000000-0008-0000-0200-0000EE030000}"/>
            </a:ext>
          </a:extLst>
        </xdr:cNvPr>
        <xdr:cNvSpPr/>
      </xdr:nvSpPr>
      <xdr:spPr>
        <a:xfrm>
          <a:off x="170688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128</xdr:col>
      <xdr:colOff>0</xdr:colOff>
      <xdr:row>4</xdr:row>
      <xdr:rowOff>0</xdr:rowOff>
    </xdr:from>
    <xdr:to>
      <xdr:col>129</xdr:col>
      <xdr:colOff>0</xdr:colOff>
      <xdr:row>5</xdr:row>
      <xdr:rowOff>0</xdr:rowOff>
    </xdr:to>
    <xdr:sp macro="" textlink="">
      <xdr:nvSpPr>
        <xdr:cNvPr id="1007" name="OpenSolver446">
          <a:extLst>
            <a:ext uri="{FF2B5EF4-FFF2-40B4-BE49-F238E27FC236}">
              <a16:creationId xmlns:a16="http://schemas.microsoft.com/office/drawing/2014/main" xmlns="" id="{00000000-0008-0000-0200-0000EF030000}"/>
            </a:ext>
          </a:extLst>
        </xdr:cNvPr>
        <xdr:cNvSpPr/>
      </xdr:nvSpPr>
      <xdr:spPr>
        <a:xfrm>
          <a:off x="78028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128</xdr:col>
      <xdr:colOff>0</xdr:colOff>
      <xdr:row>131</xdr:row>
      <xdr:rowOff>0</xdr:rowOff>
    </xdr:to>
    <xdr:cxnSp macro="">
      <xdr:nvCxnSpPr>
        <xdr:cNvPr id="1008" name="OpenSolver447">
          <a:extLst>
            <a:ext uri="{FF2B5EF4-FFF2-40B4-BE49-F238E27FC236}">
              <a16:creationId xmlns:a16="http://schemas.microsoft.com/office/drawing/2014/main" xmlns="" id="{00000000-0008-0000-0200-0000F0030000}"/>
            </a:ext>
          </a:extLst>
        </xdr:cNvPr>
        <xdr:cNvCxnSpPr>
          <a:stCxn id="1006" idx="3"/>
          <a:endCxn id="1007" idx="1"/>
        </xdr:cNvCxnSpPr>
      </xdr:nvCxnSpPr>
      <xdr:spPr>
        <a:xfrm flipV="1">
          <a:off x="17678400" y="857250"/>
          <a:ext cx="60350400" cy="24098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114300</xdr:colOff>
      <xdr:row>67</xdr:row>
      <xdr:rowOff>15875</xdr:rowOff>
    </xdr:from>
    <xdr:to>
      <xdr:col>78</xdr:col>
      <xdr:colOff>495300</xdr:colOff>
      <xdr:row>68</xdr:row>
      <xdr:rowOff>79375</xdr:rowOff>
    </xdr:to>
    <xdr:sp macro="" textlink="">
      <xdr:nvSpPr>
        <xdr:cNvPr id="1009" name="OpenSolver448">
          <a:extLst>
            <a:ext uri="{FF2B5EF4-FFF2-40B4-BE49-F238E27FC236}">
              <a16:creationId xmlns:a16="http://schemas.microsoft.com/office/drawing/2014/main" xmlns="" id="{00000000-0008-0000-0200-0000F1030000}"/>
            </a:ext>
          </a:extLst>
        </xdr:cNvPr>
        <xdr:cNvSpPr/>
      </xdr:nvSpPr>
      <xdr:spPr>
        <a:xfrm>
          <a:off x="47663100" y="12779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135</xdr:row>
      <xdr:rowOff>0</xdr:rowOff>
    </xdr:from>
    <xdr:to>
      <xdr:col>29</xdr:col>
      <xdr:colOff>0</xdr:colOff>
      <xdr:row>142</xdr:row>
      <xdr:rowOff>0</xdr:rowOff>
    </xdr:to>
    <xdr:sp macro="" textlink="">
      <xdr:nvSpPr>
        <xdr:cNvPr id="1010" name="OpenSolver449">
          <a:extLst>
            <a:ext uri="{FF2B5EF4-FFF2-40B4-BE49-F238E27FC236}">
              <a16:creationId xmlns:a16="http://schemas.microsoft.com/office/drawing/2014/main" xmlns="" id="{00000000-0008-0000-0200-0000F2030000}"/>
            </a:ext>
          </a:extLst>
        </xdr:cNvPr>
        <xdr:cNvSpPr/>
      </xdr:nvSpPr>
      <xdr:spPr>
        <a:xfrm>
          <a:off x="170688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129</xdr:col>
      <xdr:colOff>0</xdr:colOff>
      <xdr:row>4</xdr:row>
      <xdr:rowOff>0</xdr:rowOff>
    </xdr:from>
    <xdr:to>
      <xdr:col>130</xdr:col>
      <xdr:colOff>0</xdr:colOff>
      <xdr:row>5</xdr:row>
      <xdr:rowOff>0</xdr:rowOff>
    </xdr:to>
    <xdr:sp macro="" textlink="">
      <xdr:nvSpPr>
        <xdr:cNvPr id="1011" name="OpenSolver450">
          <a:extLst>
            <a:ext uri="{FF2B5EF4-FFF2-40B4-BE49-F238E27FC236}">
              <a16:creationId xmlns:a16="http://schemas.microsoft.com/office/drawing/2014/main" xmlns="" id="{00000000-0008-0000-0200-0000F3030000}"/>
            </a:ext>
          </a:extLst>
        </xdr:cNvPr>
        <xdr:cNvSpPr/>
      </xdr:nvSpPr>
      <xdr:spPr>
        <a:xfrm>
          <a:off x="78638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129</xdr:col>
      <xdr:colOff>0</xdr:colOff>
      <xdr:row>138</xdr:row>
      <xdr:rowOff>95250</xdr:rowOff>
    </xdr:to>
    <xdr:cxnSp macro="">
      <xdr:nvCxnSpPr>
        <xdr:cNvPr id="1012" name="OpenSolver451">
          <a:extLst>
            <a:ext uri="{FF2B5EF4-FFF2-40B4-BE49-F238E27FC236}">
              <a16:creationId xmlns:a16="http://schemas.microsoft.com/office/drawing/2014/main" xmlns="" id="{00000000-0008-0000-0200-0000F4030000}"/>
            </a:ext>
          </a:extLst>
        </xdr:cNvPr>
        <xdr:cNvCxnSpPr>
          <a:stCxn id="1010" idx="3"/>
          <a:endCxn id="1011" idx="1"/>
        </xdr:cNvCxnSpPr>
      </xdr:nvCxnSpPr>
      <xdr:spPr>
        <a:xfrm flipV="1">
          <a:off x="17678400" y="857250"/>
          <a:ext cx="60960000" cy="2552700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419100</xdr:colOff>
      <xdr:row>70</xdr:row>
      <xdr:rowOff>158750</xdr:rowOff>
    </xdr:from>
    <xdr:to>
      <xdr:col>79</xdr:col>
      <xdr:colOff>190500</xdr:colOff>
      <xdr:row>72</xdr:row>
      <xdr:rowOff>31750</xdr:rowOff>
    </xdr:to>
    <xdr:sp macro="" textlink="">
      <xdr:nvSpPr>
        <xdr:cNvPr id="1013" name="OpenSolver452">
          <a:extLst>
            <a:ext uri="{FF2B5EF4-FFF2-40B4-BE49-F238E27FC236}">
              <a16:creationId xmlns:a16="http://schemas.microsoft.com/office/drawing/2014/main" xmlns="" id="{00000000-0008-0000-0200-0000F5030000}"/>
            </a:ext>
          </a:extLst>
        </xdr:cNvPr>
        <xdr:cNvSpPr/>
      </xdr:nvSpPr>
      <xdr:spPr>
        <a:xfrm>
          <a:off x="479679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142</xdr:row>
      <xdr:rowOff>0</xdr:rowOff>
    </xdr:from>
    <xdr:to>
      <xdr:col>29</xdr:col>
      <xdr:colOff>0</xdr:colOff>
      <xdr:row>277</xdr:row>
      <xdr:rowOff>0</xdr:rowOff>
    </xdr:to>
    <xdr:sp macro="" textlink="">
      <xdr:nvSpPr>
        <xdr:cNvPr id="1014" name="OpenSolver453">
          <a:extLst>
            <a:ext uri="{FF2B5EF4-FFF2-40B4-BE49-F238E27FC236}">
              <a16:creationId xmlns:a16="http://schemas.microsoft.com/office/drawing/2014/main" xmlns="" id="{00000000-0008-0000-0200-0000F6030000}"/>
            </a:ext>
          </a:extLst>
        </xdr:cNvPr>
        <xdr:cNvSpPr/>
      </xdr:nvSpPr>
      <xdr:spPr>
        <a:xfrm>
          <a:off x="170688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130</xdr:col>
      <xdr:colOff>0</xdr:colOff>
      <xdr:row>4</xdr:row>
      <xdr:rowOff>0</xdr:rowOff>
    </xdr:from>
    <xdr:to>
      <xdr:col>131</xdr:col>
      <xdr:colOff>0</xdr:colOff>
      <xdr:row>5</xdr:row>
      <xdr:rowOff>0</xdr:rowOff>
    </xdr:to>
    <xdr:sp macro="" textlink="">
      <xdr:nvSpPr>
        <xdr:cNvPr id="1015" name="OpenSolver454">
          <a:extLst>
            <a:ext uri="{FF2B5EF4-FFF2-40B4-BE49-F238E27FC236}">
              <a16:creationId xmlns:a16="http://schemas.microsoft.com/office/drawing/2014/main" xmlns="" id="{00000000-0008-0000-0200-0000F7030000}"/>
            </a:ext>
          </a:extLst>
        </xdr:cNvPr>
        <xdr:cNvSpPr/>
      </xdr:nvSpPr>
      <xdr:spPr>
        <a:xfrm>
          <a:off x="79248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130</xdr:col>
      <xdr:colOff>0</xdr:colOff>
      <xdr:row>142</xdr:row>
      <xdr:rowOff>0</xdr:rowOff>
    </xdr:to>
    <xdr:cxnSp macro="">
      <xdr:nvCxnSpPr>
        <xdr:cNvPr id="1016" name="OpenSolver455">
          <a:extLst>
            <a:ext uri="{FF2B5EF4-FFF2-40B4-BE49-F238E27FC236}">
              <a16:creationId xmlns:a16="http://schemas.microsoft.com/office/drawing/2014/main" xmlns="" id="{00000000-0008-0000-0200-0000F8030000}"/>
            </a:ext>
          </a:extLst>
        </xdr:cNvPr>
        <xdr:cNvCxnSpPr>
          <a:stCxn id="1014" idx="0"/>
          <a:endCxn id="1015" idx="1"/>
        </xdr:cNvCxnSpPr>
      </xdr:nvCxnSpPr>
      <xdr:spPr>
        <a:xfrm flipV="1">
          <a:off x="17373600" y="857250"/>
          <a:ext cx="61874400" cy="26193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571500</xdr:colOff>
      <xdr:row>72</xdr:row>
      <xdr:rowOff>111125</xdr:rowOff>
    </xdr:from>
    <xdr:to>
      <xdr:col>79</xdr:col>
      <xdr:colOff>342900</xdr:colOff>
      <xdr:row>73</xdr:row>
      <xdr:rowOff>174625</xdr:rowOff>
    </xdr:to>
    <xdr:sp macro="" textlink="">
      <xdr:nvSpPr>
        <xdr:cNvPr id="1017" name="OpenSolver456">
          <a:extLst>
            <a:ext uri="{FF2B5EF4-FFF2-40B4-BE49-F238E27FC236}">
              <a16:creationId xmlns:a16="http://schemas.microsoft.com/office/drawing/2014/main" xmlns="" id="{00000000-0008-0000-0200-0000F9030000}"/>
            </a:ext>
          </a:extLst>
        </xdr:cNvPr>
        <xdr:cNvSpPr/>
      </xdr:nvSpPr>
      <xdr:spPr>
        <a:xfrm>
          <a:off x="481203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277</xdr:row>
      <xdr:rowOff>0</xdr:rowOff>
    </xdr:from>
    <xdr:to>
      <xdr:col>29</xdr:col>
      <xdr:colOff>0</xdr:colOff>
      <xdr:row>304</xdr:row>
      <xdr:rowOff>0</xdr:rowOff>
    </xdr:to>
    <xdr:sp macro="" textlink="">
      <xdr:nvSpPr>
        <xdr:cNvPr id="1018" name="OpenSolver457">
          <a:extLst>
            <a:ext uri="{FF2B5EF4-FFF2-40B4-BE49-F238E27FC236}">
              <a16:creationId xmlns:a16="http://schemas.microsoft.com/office/drawing/2014/main" xmlns="" id="{00000000-0008-0000-0200-0000FA030000}"/>
            </a:ext>
          </a:extLst>
        </xdr:cNvPr>
        <xdr:cNvSpPr/>
      </xdr:nvSpPr>
      <xdr:spPr>
        <a:xfrm>
          <a:off x="170688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131</xdr:col>
      <xdr:colOff>0</xdr:colOff>
      <xdr:row>4</xdr:row>
      <xdr:rowOff>0</xdr:rowOff>
    </xdr:from>
    <xdr:to>
      <xdr:col>132</xdr:col>
      <xdr:colOff>0</xdr:colOff>
      <xdr:row>5</xdr:row>
      <xdr:rowOff>0</xdr:rowOff>
    </xdr:to>
    <xdr:sp macro="" textlink="">
      <xdr:nvSpPr>
        <xdr:cNvPr id="1019" name="OpenSolver458">
          <a:extLst>
            <a:ext uri="{FF2B5EF4-FFF2-40B4-BE49-F238E27FC236}">
              <a16:creationId xmlns:a16="http://schemas.microsoft.com/office/drawing/2014/main" xmlns="" id="{00000000-0008-0000-0200-0000FB030000}"/>
            </a:ext>
          </a:extLst>
        </xdr:cNvPr>
        <xdr:cNvSpPr/>
      </xdr:nvSpPr>
      <xdr:spPr>
        <a:xfrm>
          <a:off x="79857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131</xdr:col>
      <xdr:colOff>0</xdr:colOff>
      <xdr:row>277</xdr:row>
      <xdr:rowOff>0</xdr:rowOff>
    </xdr:to>
    <xdr:cxnSp macro="">
      <xdr:nvCxnSpPr>
        <xdr:cNvPr id="1020" name="OpenSolver459">
          <a:extLst>
            <a:ext uri="{FF2B5EF4-FFF2-40B4-BE49-F238E27FC236}">
              <a16:creationId xmlns:a16="http://schemas.microsoft.com/office/drawing/2014/main" xmlns="" id="{00000000-0008-0000-0200-0000FC030000}"/>
            </a:ext>
          </a:extLst>
        </xdr:cNvPr>
        <xdr:cNvCxnSpPr>
          <a:stCxn id="1018" idx="0"/>
          <a:endCxn id="1019" idx="1"/>
        </xdr:cNvCxnSpPr>
      </xdr:nvCxnSpPr>
      <xdr:spPr>
        <a:xfrm flipV="1">
          <a:off x="17373600" y="857250"/>
          <a:ext cx="62484000" cy="519112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266700</xdr:colOff>
      <xdr:row>140</xdr:row>
      <xdr:rowOff>15875</xdr:rowOff>
    </xdr:from>
    <xdr:to>
      <xdr:col>80</xdr:col>
      <xdr:colOff>38100</xdr:colOff>
      <xdr:row>141</xdr:row>
      <xdr:rowOff>79375</xdr:rowOff>
    </xdr:to>
    <xdr:sp macro="" textlink="">
      <xdr:nvSpPr>
        <xdr:cNvPr id="1021" name="OpenSolver460">
          <a:extLst>
            <a:ext uri="{FF2B5EF4-FFF2-40B4-BE49-F238E27FC236}">
              <a16:creationId xmlns:a16="http://schemas.microsoft.com/office/drawing/2014/main" xmlns="" id="{00000000-0008-0000-0200-0000FD030000}"/>
            </a:ext>
          </a:extLst>
        </xdr:cNvPr>
        <xdr:cNvSpPr/>
      </xdr:nvSpPr>
      <xdr:spPr>
        <a:xfrm>
          <a:off x="484251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304</xdr:row>
      <xdr:rowOff>0</xdr:rowOff>
    </xdr:from>
    <xdr:to>
      <xdr:col>29</xdr:col>
      <xdr:colOff>0</xdr:colOff>
      <xdr:row>313</xdr:row>
      <xdr:rowOff>0</xdr:rowOff>
    </xdr:to>
    <xdr:sp macro="" textlink="">
      <xdr:nvSpPr>
        <xdr:cNvPr id="1022" name="OpenSolver461">
          <a:extLst>
            <a:ext uri="{FF2B5EF4-FFF2-40B4-BE49-F238E27FC236}">
              <a16:creationId xmlns:a16="http://schemas.microsoft.com/office/drawing/2014/main" xmlns="" id="{00000000-0008-0000-0200-0000FE030000}"/>
            </a:ext>
          </a:extLst>
        </xdr:cNvPr>
        <xdr:cNvSpPr/>
      </xdr:nvSpPr>
      <xdr:spPr>
        <a:xfrm>
          <a:off x="170688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132</xdr:col>
      <xdr:colOff>0</xdr:colOff>
      <xdr:row>4</xdr:row>
      <xdr:rowOff>0</xdr:rowOff>
    </xdr:from>
    <xdr:to>
      <xdr:col>133</xdr:col>
      <xdr:colOff>0</xdr:colOff>
      <xdr:row>5</xdr:row>
      <xdr:rowOff>0</xdr:rowOff>
    </xdr:to>
    <xdr:sp macro="" textlink="">
      <xdr:nvSpPr>
        <xdr:cNvPr id="1023" name="OpenSolver462">
          <a:extLst>
            <a:ext uri="{FF2B5EF4-FFF2-40B4-BE49-F238E27FC236}">
              <a16:creationId xmlns:a16="http://schemas.microsoft.com/office/drawing/2014/main" xmlns="" id="{00000000-0008-0000-0200-0000FF030000}"/>
            </a:ext>
          </a:extLst>
        </xdr:cNvPr>
        <xdr:cNvSpPr/>
      </xdr:nvSpPr>
      <xdr:spPr>
        <a:xfrm>
          <a:off x="80467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28</xdr:col>
      <xdr:colOff>304800</xdr:colOff>
      <xdr:row>4</xdr:row>
      <xdr:rowOff>95250</xdr:rowOff>
    </xdr:from>
    <xdr:to>
      <xdr:col>132</xdr:col>
      <xdr:colOff>0</xdr:colOff>
      <xdr:row>304</xdr:row>
      <xdr:rowOff>0</xdr:rowOff>
    </xdr:to>
    <xdr:cxnSp macro="">
      <xdr:nvCxnSpPr>
        <xdr:cNvPr id="1024" name="OpenSolver463">
          <a:extLst>
            <a:ext uri="{FF2B5EF4-FFF2-40B4-BE49-F238E27FC236}">
              <a16:creationId xmlns:a16="http://schemas.microsoft.com/office/drawing/2014/main" xmlns="" id="{00000000-0008-0000-0200-000000040000}"/>
            </a:ext>
          </a:extLst>
        </xdr:cNvPr>
        <xdr:cNvCxnSpPr>
          <a:stCxn id="1022" idx="0"/>
          <a:endCxn id="1023" idx="1"/>
        </xdr:cNvCxnSpPr>
      </xdr:nvCxnSpPr>
      <xdr:spPr>
        <a:xfrm flipV="1">
          <a:off x="17373600" y="857250"/>
          <a:ext cx="63093600" cy="57054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79</xdr:col>
      <xdr:colOff>571500</xdr:colOff>
      <xdr:row>153</xdr:row>
      <xdr:rowOff>111125</xdr:rowOff>
    </xdr:from>
    <xdr:to>
      <xdr:col>80</xdr:col>
      <xdr:colOff>342900</xdr:colOff>
      <xdr:row>154</xdr:row>
      <xdr:rowOff>174625</xdr:rowOff>
    </xdr:to>
    <xdr:sp macro="" textlink="">
      <xdr:nvSpPr>
        <xdr:cNvPr id="1025" name="OpenSolver464">
          <a:extLst>
            <a:ext uri="{FF2B5EF4-FFF2-40B4-BE49-F238E27FC236}">
              <a16:creationId xmlns:a16="http://schemas.microsoft.com/office/drawing/2014/main" xmlns="" id="{00000000-0008-0000-0200-000001040000}"/>
            </a:ext>
          </a:extLst>
        </xdr:cNvPr>
        <xdr:cNvSpPr/>
      </xdr:nvSpPr>
      <xdr:spPr>
        <a:xfrm>
          <a:off x="487299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313</xdr:row>
      <xdr:rowOff>0</xdr:rowOff>
    </xdr:from>
    <xdr:to>
      <xdr:col>29</xdr:col>
      <xdr:colOff>0</xdr:colOff>
      <xdr:row>315</xdr:row>
      <xdr:rowOff>0</xdr:rowOff>
    </xdr:to>
    <xdr:sp macro="" textlink="">
      <xdr:nvSpPr>
        <xdr:cNvPr id="1026" name="OpenSolver465">
          <a:extLst>
            <a:ext uri="{FF2B5EF4-FFF2-40B4-BE49-F238E27FC236}">
              <a16:creationId xmlns:a16="http://schemas.microsoft.com/office/drawing/2014/main" xmlns="" id="{00000000-0008-0000-0200-000002040000}"/>
            </a:ext>
          </a:extLst>
        </xdr:cNvPr>
        <xdr:cNvSpPr/>
      </xdr:nvSpPr>
      <xdr:spPr>
        <a:xfrm>
          <a:off x="170688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133</xdr:col>
      <xdr:colOff>0</xdr:colOff>
      <xdr:row>4</xdr:row>
      <xdr:rowOff>0</xdr:rowOff>
    </xdr:from>
    <xdr:to>
      <xdr:col>134</xdr:col>
      <xdr:colOff>0</xdr:colOff>
      <xdr:row>5</xdr:row>
      <xdr:rowOff>0</xdr:rowOff>
    </xdr:to>
    <xdr:sp macro="" textlink="">
      <xdr:nvSpPr>
        <xdr:cNvPr id="1027" name="OpenSolver466">
          <a:extLst>
            <a:ext uri="{FF2B5EF4-FFF2-40B4-BE49-F238E27FC236}">
              <a16:creationId xmlns:a16="http://schemas.microsoft.com/office/drawing/2014/main" xmlns="" id="{00000000-0008-0000-0200-000003040000}"/>
            </a:ext>
          </a:extLst>
        </xdr:cNvPr>
        <xdr:cNvSpPr/>
      </xdr:nvSpPr>
      <xdr:spPr>
        <a:xfrm>
          <a:off x="81076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133</xdr:col>
      <xdr:colOff>0</xdr:colOff>
      <xdr:row>314</xdr:row>
      <xdr:rowOff>0</xdr:rowOff>
    </xdr:to>
    <xdr:cxnSp macro="">
      <xdr:nvCxnSpPr>
        <xdr:cNvPr id="1028" name="OpenSolver467">
          <a:extLst>
            <a:ext uri="{FF2B5EF4-FFF2-40B4-BE49-F238E27FC236}">
              <a16:creationId xmlns:a16="http://schemas.microsoft.com/office/drawing/2014/main" xmlns="" id="{00000000-0008-0000-0200-000004040000}"/>
            </a:ext>
          </a:extLst>
        </xdr:cNvPr>
        <xdr:cNvCxnSpPr>
          <a:stCxn id="1026" idx="3"/>
          <a:endCxn id="1027" idx="1"/>
        </xdr:cNvCxnSpPr>
      </xdr:nvCxnSpPr>
      <xdr:spPr>
        <a:xfrm flipV="1">
          <a:off x="17678400" y="857250"/>
          <a:ext cx="63398400" cy="589597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419100</xdr:colOff>
      <xdr:row>158</xdr:row>
      <xdr:rowOff>111125</xdr:rowOff>
    </xdr:from>
    <xdr:to>
      <xdr:col>81</xdr:col>
      <xdr:colOff>190500</xdr:colOff>
      <xdr:row>159</xdr:row>
      <xdr:rowOff>174625</xdr:rowOff>
    </xdr:to>
    <xdr:sp macro="" textlink="">
      <xdr:nvSpPr>
        <xdr:cNvPr id="1029" name="OpenSolver468">
          <a:extLst>
            <a:ext uri="{FF2B5EF4-FFF2-40B4-BE49-F238E27FC236}">
              <a16:creationId xmlns:a16="http://schemas.microsoft.com/office/drawing/2014/main" xmlns="" id="{00000000-0008-0000-0200-000005040000}"/>
            </a:ext>
          </a:extLst>
        </xdr:cNvPr>
        <xdr:cNvSpPr/>
      </xdr:nvSpPr>
      <xdr:spPr>
        <a:xfrm>
          <a:off x="491871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0</xdr:colOff>
      <xdr:row>315</xdr:row>
      <xdr:rowOff>0</xdr:rowOff>
    </xdr:from>
    <xdr:to>
      <xdr:col>29</xdr:col>
      <xdr:colOff>0</xdr:colOff>
      <xdr:row>317</xdr:row>
      <xdr:rowOff>0</xdr:rowOff>
    </xdr:to>
    <xdr:sp macro="" textlink="">
      <xdr:nvSpPr>
        <xdr:cNvPr id="1030" name="OpenSolver469">
          <a:extLst>
            <a:ext uri="{FF2B5EF4-FFF2-40B4-BE49-F238E27FC236}">
              <a16:creationId xmlns:a16="http://schemas.microsoft.com/office/drawing/2014/main" xmlns="" id="{00000000-0008-0000-0200-000006040000}"/>
            </a:ext>
          </a:extLst>
        </xdr:cNvPr>
        <xdr:cNvSpPr/>
      </xdr:nvSpPr>
      <xdr:spPr>
        <a:xfrm>
          <a:off x="170688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134</xdr:col>
      <xdr:colOff>0</xdr:colOff>
      <xdr:row>4</xdr:row>
      <xdr:rowOff>0</xdr:rowOff>
    </xdr:from>
    <xdr:to>
      <xdr:col>135</xdr:col>
      <xdr:colOff>0</xdr:colOff>
      <xdr:row>5</xdr:row>
      <xdr:rowOff>0</xdr:rowOff>
    </xdr:to>
    <xdr:sp macro="" textlink="">
      <xdr:nvSpPr>
        <xdr:cNvPr id="1031" name="OpenSolver470">
          <a:extLst>
            <a:ext uri="{FF2B5EF4-FFF2-40B4-BE49-F238E27FC236}">
              <a16:creationId xmlns:a16="http://schemas.microsoft.com/office/drawing/2014/main" xmlns="" id="{00000000-0008-0000-0200-000007040000}"/>
            </a:ext>
          </a:extLst>
        </xdr:cNvPr>
        <xdr:cNvSpPr/>
      </xdr:nvSpPr>
      <xdr:spPr>
        <a:xfrm>
          <a:off x="81686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29</xdr:col>
      <xdr:colOff>0</xdr:colOff>
      <xdr:row>4</xdr:row>
      <xdr:rowOff>95250</xdr:rowOff>
    </xdr:from>
    <xdr:to>
      <xdr:col>134</xdr:col>
      <xdr:colOff>0</xdr:colOff>
      <xdr:row>316</xdr:row>
      <xdr:rowOff>0</xdr:rowOff>
    </xdr:to>
    <xdr:cxnSp macro="">
      <xdr:nvCxnSpPr>
        <xdr:cNvPr id="1032" name="OpenSolver471">
          <a:extLst>
            <a:ext uri="{FF2B5EF4-FFF2-40B4-BE49-F238E27FC236}">
              <a16:creationId xmlns:a16="http://schemas.microsoft.com/office/drawing/2014/main" xmlns="" id="{00000000-0008-0000-0200-000008040000}"/>
            </a:ext>
          </a:extLst>
        </xdr:cNvPr>
        <xdr:cNvCxnSpPr>
          <a:stCxn id="1030" idx="3"/>
          <a:endCxn id="1031" idx="1"/>
        </xdr:cNvCxnSpPr>
      </xdr:nvCxnSpPr>
      <xdr:spPr>
        <a:xfrm flipV="1">
          <a:off x="17678400" y="857250"/>
          <a:ext cx="64008000" cy="59340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81</xdr:col>
      <xdr:colOff>114300</xdr:colOff>
      <xdr:row>159</xdr:row>
      <xdr:rowOff>111125</xdr:rowOff>
    </xdr:from>
    <xdr:to>
      <xdr:col>81</xdr:col>
      <xdr:colOff>495300</xdr:colOff>
      <xdr:row>160</xdr:row>
      <xdr:rowOff>174625</xdr:rowOff>
    </xdr:to>
    <xdr:sp macro="" textlink="">
      <xdr:nvSpPr>
        <xdr:cNvPr id="1033" name="OpenSolver472">
          <a:extLst>
            <a:ext uri="{FF2B5EF4-FFF2-40B4-BE49-F238E27FC236}">
              <a16:creationId xmlns:a16="http://schemas.microsoft.com/office/drawing/2014/main" xmlns="" id="{00000000-0008-0000-0200-000009040000}"/>
            </a:ext>
          </a:extLst>
        </xdr:cNvPr>
        <xdr:cNvSpPr/>
      </xdr:nvSpPr>
      <xdr:spPr>
        <a:xfrm>
          <a:off x="494919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18</xdr:row>
      <xdr:rowOff>0</xdr:rowOff>
    </xdr:from>
    <xdr:to>
      <xdr:col>32</xdr:col>
      <xdr:colOff>0</xdr:colOff>
      <xdr:row>102</xdr:row>
      <xdr:rowOff>0</xdr:rowOff>
    </xdr:to>
    <xdr:sp macro="" textlink="">
      <xdr:nvSpPr>
        <xdr:cNvPr id="1034" name="OpenSolver473">
          <a:extLst>
            <a:ext uri="{FF2B5EF4-FFF2-40B4-BE49-F238E27FC236}">
              <a16:creationId xmlns:a16="http://schemas.microsoft.com/office/drawing/2014/main" xmlns="" id="{00000000-0008-0000-0200-00000A040000}"/>
            </a:ext>
          </a:extLst>
        </xdr:cNvPr>
        <xdr:cNvSpPr/>
      </xdr:nvSpPr>
      <xdr:spPr>
        <a:xfrm>
          <a:off x="188976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135</xdr:col>
      <xdr:colOff>0</xdr:colOff>
      <xdr:row>4</xdr:row>
      <xdr:rowOff>0</xdr:rowOff>
    </xdr:from>
    <xdr:to>
      <xdr:col>136</xdr:col>
      <xdr:colOff>0</xdr:colOff>
      <xdr:row>5</xdr:row>
      <xdr:rowOff>0</xdr:rowOff>
    </xdr:to>
    <xdr:sp macro="" textlink="">
      <xdr:nvSpPr>
        <xdr:cNvPr id="1035" name="OpenSolver474">
          <a:extLst>
            <a:ext uri="{FF2B5EF4-FFF2-40B4-BE49-F238E27FC236}">
              <a16:creationId xmlns:a16="http://schemas.microsoft.com/office/drawing/2014/main" xmlns="" id="{00000000-0008-0000-0200-00000B040000}"/>
            </a:ext>
          </a:extLst>
        </xdr:cNvPr>
        <xdr:cNvSpPr/>
      </xdr:nvSpPr>
      <xdr:spPr>
        <a:xfrm>
          <a:off x="82296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135</xdr:col>
      <xdr:colOff>0</xdr:colOff>
      <xdr:row>18</xdr:row>
      <xdr:rowOff>0</xdr:rowOff>
    </xdr:to>
    <xdr:cxnSp macro="">
      <xdr:nvCxnSpPr>
        <xdr:cNvPr id="1036" name="OpenSolver475">
          <a:extLst>
            <a:ext uri="{FF2B5EF4-FFF2-40B4-BE49-F238E27FC236}">
              <a16:creationId xmlns:a16="http://schemas.microsoft.com/office/drawing/2014/main" xmlns="" id="{00000000-0008-0000-0200-00000C040000}"/>
            </a:ext>
          </a:extLst>
        </xdr:cNvPr>
        <xdr:cNvCxnSpPr>
          <a:stCxn id="1034" idx="0"/>
          <a:endCxn id="1035" idx="1"/>
        </xdr:cNvCxnSpPr>
      </xdr:nvCxnSpPr>
      <xdr:spPr>
        <a:xfrm flipV="1">
          <a:off x="19202400" y="857250"/>
          <a:ext cx="63093600" cy="2571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82</xdr:col>
      <xdr:colOff>571500</xdr:colOff>
      <xdr:row>10</xdr:row>
      <xdr:rowOff>111125</xdr:rowOff>
    </xdr:from>
    <xdr:to>
      <xdr:col>83</xdr:col>
      <xdr:colOff>342900</xdr:colOff>
      <xdr:row>11</xdr:row>
      <xdr:rowOff>174625</xdr:rowOff>
    </xdr:to>
    <xdr:sp macro="" textlink="">
      <xdr:nvSpPr>
        <xdr:cNvPr id="1037" name="OpenSolver476">
          <a:extLst>
            <a:ext uri="{FF2B5EF4-FFF2-40B4-BE49-F238E27FC236}">
              <a16:creationId xmlns:a16="http://schemas.microsoft.com/office/drawing/2014/main" xmlns="" id="{00000000-0008-0000-0200-00000D040000}"/>
            </a:ext>
          </a:extLst>
        </xdr:cNvPr>
        <xdr:cNvSpPr/>
      </xdr:nvSpPr>
      <xdr:spPr>
        <a:xfrm>
          <a:off x="50558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102</xdr:row>
      <xdr:rowOff>0</xdr:rowOff>
    </xdr:from>
    <xdr:to>
      <xdr:col>32</xdr:col>
      <xdr:colOff>0</xdr:colOff>
      <xdr:row>127</xdr:row>
      <xdr:rowOff>0</xdr:rowOff>
    </xdr:to>
    <xdr:sp macro="" textlink="">
      <xdr:nvSpPr>
        <xdr:cNvPr id="1038" name="OpenSolver477">
          <a:extLst>
            <a:ext uri="{FF2B5EF4-FFF2-40B4-BE49-F238E27FC236}">
              <a16:creationId xmlns:a16="http://schemas.microsoft.com/office/drawing/2014/main" xmlns="" id="{00000000-0008-0000-0200-00000E040000}"/>
            </a:ext>
          </a:extLst>
        </xdr:cNvPr>
        <xdr:cNvSpPr/>
      </xdr:nvSpPr>
      <xdr:spPr>
        <a:xfrm>
          <a:off x="188976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136</xdr:col>
      <xdr:colOff>0</xdr:colOff>
      <xdr:row>4</xdr:row>
      <xdr:rowOff>0</xdr:rowOff>
    </xdr:from>
    <xdr:to>
      <xdr:col>137</xdr:col>
      <xdr:colOff>0</xdr:colOff>
      <xdr:row>5</xdr:row>
      <xdr:rowOff>0</xdr:rowOff>
    </xdr:to>
    <xdr:sp macro="" textlink="">
      <xdr:nvSpPr>
        <xdr:cNvPr id="1039" name="OpenSolver478">
          <a:extLst>
            <a:ext uri="{FF2B5EF4-FFF2-40B4-BE49-F238E27FC236}">
              <a16:creationId xmlns:a16="http://schemas.microsoft.com/office/drawing/2014/main" xmlns="" id="{00000000-0008-0000-0200-00000F040000}"/>
            </a:ext>
          </a:extLst>
        </xdr:cNvPr>
        <xdr:cNvSpPr/>
      </xdr:nvSpPr>
      <xdr:spPr>
        <a:xfrm>
          <a:off x="82905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136</xdr:col>
      <xdr:colOff>0</xdr:colOff>
      <xdr:row>102</xdr:row>
      <xdr:rowOff>0</xdr:rowOff>
    </xdr:to>
    <xdr:cxnSp macro="">
      <xdr:nvCxnSpPr>
        <xdr:cNvPr id="1040" name="OpenSolver479">
          <a:extLst>
            <a:ext uri="{FF2B5EF4-FFF2-40B4-BE49-F238E27FC236}">
              <a16:creationId xmlns:a16="http://schemas.microsoft.com/office/drawing/2014/main" xmlns="" id="{00000000-0008-0000-0200-000010040000}"/>
            </a:ext>
          </a:extLst>
        </xdr:cNvPr>
        <xdr:cNvCxnSpPr>
          <a:stCxn id="1038" idx="0"/>
          <a:endCxn id="1039" idx="1"/>
        </xdr:cNvCxnSpPr>
      </xdr:nvCxnSpPr>
      <xdr:spPr>
        <a:xfrm flipV="1">
          <a:off x="19202400" y="857250"/>
          <a:ext cx="63703200" cy="18573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83</xdr:col>
      <xdr:colOff>266700</xdr:colOff>
      <xdr:row>52</xdr:row>
      <xdr:rowOff>111125</xdr:rowOff>
    </xdr:from>
    <xdr:to>
      <xdr:col>84</xdr:col>
      <xdr:colOff>38100</xdr:colOff>
      <xdr:row>53</xdr:row>
      <xdr:rowOff>174625</xdr:rowOff>
    </xdr:to>
    <xdr:sp macro="" textlink="">
      <xdr:nvSpPr>
        <xdr:cNvPr id="1041" name="OpenSolver480">
          <a:extLst>
            <a:ext uri="{FF2B5EF4-FFF2-40B4-BE49-F238E27FC236}">
              <a16:creationId xmlns:a16="http://schemas.microsoft.com/office/drawing/2014/main" xmlns="" id="{00000000-0008-0000-0200-000011040000}"/>
            </a:ext>
          </a:extLst>
        </xdr:cNvPr>
        <xdr:cNvSpPr/>
      </xdr:nvSpPr>
      <xdr:spPr>
        <a:xfrm>
          <a:off x="50863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127</xdr:row>
      <xdr:rowOff>0</xdr:rowOff>
    </xdr:from>
    <xdr:to>
      <xdr:col>32</xdr:col>
      <xdr:colOff>0</xdr:colOff>
      <xdr:row>135</xdr:row>
      <xdr:rowOff>0</xdr:rowOff>
    </xdr:to>
    <xdr:sp macro="" textlink="">
      <xdr:nvSpPr>
        <xdr:cNvPr id="1042" name="OpenSolver481">
          <a:extLst>
            <a:ext uri="{FF2B5EF4-FFF2-40B4-BE49-F238E27FC236}">
              <a16:creationId xmlns:a16="http://schemas.microsoft.com/office/drawing/2014/main" xmlns="" id="{00000000-0008-0000-0200-000012040000}"/>
            </a:ext>
          </a:extLst>
        </xdr:cNvPr>
        <xdr:cNvSpPr/>
      </xdr:nvSpPr>
      <xdr:spPr>
        <a:xfrm>
          <a:off x="188976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137</xdr:col>
      <xdr:colOff>0</xdr:colOff>
      <xdr:row>4</xdr:row>
      <xdr:rowOff>0</xdr:rowOff>
    </xdr:from>
    <xdr:to>
      <xdr:col>138</xdr:col>
      <xdr:colOff>0</xdr:colOff>
      <xdr:row>5</xdr:row>
      <xdr:rowOff>0</xdr:rowOff>
    </xdr:to>
    <xdr:sp macro="" textlink="">
      <xdr:nvSpPr>
        <xdr:cNvPr id="1043" name="OpenSolver482">
          <a:extLst>
            <a:ext uri="{FF2B5EF4-FFF2-40B4-BE49-F238E27FC236}">
              <a16:creationId xmlns:a16="http://schemas.microsoft.com/office/drawing/2014/main" xmlns="" id="{00000000-0008-0000-0200-000013040000}"/>
            </a:ext>
          </a:extLst>
        </xdr:cNvPr>
        <xdr:cNvSpPr/>
      </xdr:nvSpPr>
      <xdr:spPr>
        <a:xfrm>
          <a:off x="83515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137</xdr:col>
      <xdr:colOff>0</xdr:colOff>
      <xdr:row>131</xdr:row>
      <xdr:rowOff>0</xdr:rowOff>
    </xdr:to>
    <xdr:cxnSp macro="">
      <xdr:nvCxnSpPr>
        <xdr:cNvPr id="1044" name="OpenSolver483">
          <a:extLst>
            <a:ext uri="{FF2B5EF4-FFF2-40B4-BE49-F238E27FC236}">
              <a16:creationId xmlns:a16="http://schemas.microsoft.com/office/drawing/2014/main" xmlns="" id="{00000000-0008-0000-0200-000014040000}"/>
            </a:ext>
          </a:extLst>
        </xdr:cNvPr>
        <xdr:cNvCxnSpPr>
          <a:stCxn id="1042" idx="3"/>
          <a:endCxn id="1043" idx="1"/>
        </xdr:cNvCxnSpPr>
      </xdr:nvCxnSpPr>
      <xdr:spPr>
        <a:xfrm flipV="1">
          <a:off x="19507200" y="857250"/>
          <a:ext cx="64008000" cy="24098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114300</xdr:colOff>
      <xdr:row>67</xdr:row>
      <xdr:rowOff>15875</xdr:rowOff>
    </xdr:from>
    <xdr:to>
      <xdr:col>84</xdr:col>
      <xdr:colOff>495300</xdr:colOff>
      <xdr:row>68</xdr:row>
      <xdr:rowOff>79375</xdr:rowOff>
    </xdr:to>
    <xdr:sp macro="" textlink="">
      <xdr:nvSpPr>
        <xdr:cNvPr id="1045" name="OpenSolver484">
          <a:extLst>
            <a:ext uri="{FF2B5EF4-FFF2-40B4-BE49-F238E27FC236}">
              <a16:creationId xmlns:a16="http://schemas.microsoft.com/office/drawing/2014/main" xmlns="" id="{00000000-0008-0000-0200-000015040000}"/>
            </a:ext>
          </a:extLst>
        </xdr:cNvPr>
        <xdr:cNvSpPr/>
      </xdr:nvSpPr>
      <xdr:spPr>
        <a:xfrm>
          <a:off x="51320700" y="12779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135</xdr:row>
      <xdr:rowOff>0</xdr:rowOff>
    </xdr:from>
    <xdr:to>
      <xdr:col>32</xdr:col>
      <xdr:colOff>0</xdr:colOff>
      <xdr:row>142</xdr:row>
      <xdr:rowOff>0</xdr:rowOff>
    </xdr:to>
    <xdr:sp macro="" textlink="">
      <xdr:nvSpPr>
        <xdr:cNvPr id="1046" name="OpenSolver485">
          <a:extLst>
            <a:ext uri="{FF2B5EF4-FFF2-40B4-BE49-F238E27FC236}">
              <a16:creationId xmlns:a16="http://schemas.microsoft.com/office/drawing/2014/main" xmlns="" id="{00000000-0008-0000-0200-000016040000}"/>
            </a:ext>
          </a:extLst>
        </xdr:cNvPr>
        <xdr:cNvSpPr/>
      </xdr:nvSpPr>
      <xdr:spPr>
        <a:xfrm>
          <a:off x="188976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138</xdr:col>
      <xdr:colOff>0</xdr:colOff>
      <xdr:row>4</xdr:row>
      <xdr:rowOff>0</xdr:rowOff>
    </xdr:from>
    <xdr:to>
      <xdr:col>139</xdr:col>
      <xdr:colOff>0</xdr:colOff>
      <xdr:row>5</xdr:row>
      <xdr:rowOff>0</xdr:rowOff>
    </xdr:to>
    <xdr:sp macro="" textlink="">
      <xdr:nvSpPr>
        <xdr:cNvPr id="1047" name="OpenSolver486">
          <a:extLst>
            <a:ext uri="{FF2B5EF4-FFF2-40B4-BE49-F238E27FC236}">
              <a16:creationId xmlns:a16="http://schemas.microsoft.com/office/drawing/2014/main" xmlns="" id="{00000000-0008-0000-0200-000017040000}"/>
            </a:ext>
          </a:extLst>
        </xdr:cNvPr>
        <xdr:cNvSpPr/>
      </xdr:nvSpPr>
      <xdr:spPr>
        <a:xfrm>
          <a:off x="84124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138</xdr:col>
      <xdr:colOff>0</xdr:colOff>
      <xdr:row>138</xdr:row>
      <xdr:rowOff>95250</xdr:rowOff>
    </xdr:to>
    <xdr:cxnSp macro="">
      <xdr:nvCxnSpPr>
        <xdr:cNvPr id="1048" name="OpenSolver487">
          <a:extLst>
            <a:ext uri="{FF2B5EF4-FFF2-40B4-BE49-F238E27FC236}">
              <a16:creationId xmlns:a16="http://schemas.microsoft.com/office/drawing/2014/main" xmlns="" id="{00000000-0008-0000-0200-000018040000}"/>
            </a:ext>
          </a:extLst>
        </xdr:cNvPr>
        <xdr:cNvCxnSpPr>
          <a:stCxn id="1046" idx="3"/>
          <a:endCxn id="1047" idx="1"/>
        </xdr:cNvCxnSpPr>
      </xdr:nvCxnSpPr>
      <xdr:spPr>
        <a:xfrm flipV="1">
          <a:off x="19507200" y="857250"/>
          <a:ext cx="64617600" cy="255270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419100</xdr:colOff>
      <xdr:row>70</xdr:row>
      <xdr:rowOff>158750</xdr:rowOff>
    </xdr:from>
    <xdr:to>
      <xdr:col>85</xdr:col>
      <xdr:colOff>190500</xdr:colOff>
      <xdr:row>72</xdr:row>
      <xdr:rowOff>31750</xdr:rowOff>
    </xdr:to>
    <xdr:sp macro="" textlink="">
      <xdr:nvSpPr>
        <xdr:cNvPr id="1049" name="OpenSolver488">
          <a:extLst>
            <a:ext uri="{FF2B5EF4-FFF2-40B4-BE49-F238E27FC236}">
              <a16:creationId xmlns:a16="http://schemas.microsoft.com/office/drawing/2014/main" xmlns="" id="{00000000-0008-0000-0200-000019040000}"/>
            </a:ext>
          </a:extLst>
        </xdr:cNvPr>
        <xdr:cNvSpPr/>
      </xdr:nvSpPr>
      <xdr:spPr>
        <a:xfrm>
          <a:off x="516255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142</xdr:row>
      <xdr:rowOff>0</xdr:rowOff>
    </xdr:from>
    <xdr:to>
      <xdr:col>32</xdr:col>
      <xdr:colOff>0</xdr:colOff>
      <xdr:row>277</xdr:row>
      <xdr:rowOff>0</xdr:rowOff>
    </xdr:to>
    <xdr:sp macro="" textlink="">
      <xdr:nvSpPr>
        <xdr:cNvPr id="1050" name="OpenSolver489">
          <a:extLst>
            <a:ext uri="{FF2B5EF4-FFF2-40B4-BE49-F238E27FC236}">
              <a16:creationId xmlns:a16="http://schemas.microsoft.com/office/drawing/2014/main" xmlns="" id="{00000000-0008-0000-0200-00001A040000}"/>
            </a:ext>
          </a:extLst>
        </xdr:cNvPr>
        <xdr:cNvSpPr/>
      </xdr:nvSpPr>
      <xdr:spPr>
        <a:xfrm>
          <a:off x="188976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139</xdr:col>
      <xdr:colOff>0</xdr:colOff>
      <xdr:row>4</xdr:row>
      <xdr:rowOff>0</xdr:rowOff>
    </xdr:from>
    <xdr:to>
      <xdr:col>140</xdr:col>
      <xdr:colOff>0</xdr:colOff>
      <xdr:row>5</xdr:row>
      <xdr:rowOff>0</xdr:rowOff>
    </xdr:to>
    <xdr:sp macro="" textlink="">
      <xdr:nvSpPr>
        <xdr:cNvPr id="1051" name="OpenSolver490">
          <a:extLst>
            <a:ext uri="{FF2B5EF4-FFF2-40B4-BE49-F238E27FC236}">
              <a16:creationId xmlns:a16="http://schemas.microsoft.com/office/drawing/2014/main" xmlns="" id="{00000000-0008-0000-0200-00001B040000}"/>
            </a:ext>
          </a:extLst>
        </xdr:cNvPr>
        <xdr:cNvSpPr/>
      </xdr:nvSpPr>
      <xdr:spPr>
        <a:xfrm>
          <a:off x="84734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139</xdr:col>
      <xdr:colOff>0</xdr:colOff>
      <xdr:row>142</xdr:row>
      <xdr:rowOff>0</xdr:rowOff>
    </xdr:to>
    <xdr:cxnSp macro="">
      <xdr:nvCxnSpPr>
        <xdr:cNvPr id="1052" name="OpenSolver491">
          <a:extLst>
            <a:ext uri="{FF2B5EF4-FFF2-40B4-BE49-F238E27FC236}">
              <a16:creationId xmlns:a16="http://schemas.microsoft.com/office/drawing/2014/main" xmlns="" id="{00000000-0008-0000-0200-00001C040000}"/>
            </a:ext>
          </a:extLst>
        </xdr:cNvPr>
        <xdr:cNvCxnSpPr>
          <a:stCxn id="1050" idx="0"/>
          <a:endCxn id="1051" idx="1"/>
        </xdr:cNvCxnSpPr>
      </xdr:nvCxnSpPr>
      <xdr:spPr>
        <a:xfrm flipV="1">
          <a:off x="19202400" y="857250"/>
          <a:ext cx="65532000" cy="261937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84</xdr:col>
      <xdr:colOff>571500</xdr:colOff>
      <xdr:row>72</xdr:row>
      <xdr:rowOff>111125</xdr:rowOff>
    </xdr:from>
    <xdr:to>
      <xdr:col>85</xdr:col>
      <xdr:colOff>342900</xdr:colOff>
      <xdr:row>73</xdr:row>
      <xdr:rowOff>174625</xdr:rowOff>
    </xdr:to>
    <xdr:sp macro="" textlink="">
      <xdr:nvSpPr>
        <xdr:cNvPr id="1053" name="OpenSolver492">
          <a:extLst>
            <a:ext uri="{FF2B5EF4-FFF2-40B4-BE49-F238E27FC236}">
              <a16:creationId xmlns:a16="http://schemas.microsoft.com/office/drawing/2014/main" xmlns="" id="{00000000-0008-0000-0200-00001D040000}"/>
            </a:ext>
          </a:extLst>
        </xdr:cNvPr>
        <xdr:cNvSpPr/>
      </xdr:nvSpPr>
      <xdr:spPr>
        <a:xfrm>
          <a:off x="51777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277</xdr:row>
      <xdr:rowOff>0</xdr:rowOff>
    </xdr:from>
    <xdr:to>
      <xdr:col>32</xdr:col>
      <xdr:colOff>0</xdr:colOff>
      <xdr:row>304</xdr:row>
      <xdr:rowOff>0</xdr:rowOff>
    </xdr:to>
    <xdr:sp macro="" textlink="">
      <xdr:nvSpPr>
        <xdr:cNvPr id="1054" name="OpenSolver493">
          <a:extLst>
            <a:ext uri="{FF2B5EF4-FFF2-40B4-BE49-F238E27FC236}">
              <a16:creationId xmlns:a16="http://schemas.microsoft.com/office/drawing/2014/main" xmlns="" id="{00000000-0008-0000-0200-00001E040000}"/>
            </a:ext>
          </a:extLst>
        </xdr:cNvPr>
        <xdr:cNvSpPr/>
      </xdr:nvSpPr>
      <xdr:spPr>
        <a:xfrm>
          <a:off x="188976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140</xdr:col>
      <xdr:colOff>0</xdr:colOff>
      <xdr:row>4</xdr:row>
      <xdr:rowOff>0</xdr:rowOff>
    </xdr:from>
    <xdr:to>
      <xdr:col>141</xdr:col>
      <xdr:colOff>0</xdr:colOff>
      <xdr:row>5</xdr:row>
      <xdr:rowOff>0</xdr:rowOff>
    </xdr:to>
    <xdr:sp macro="" textlink="">
      <xdr:nvSpPr>
        <xdr:cNvPr id="1055" name="OpenSolver494">
          <a:extLst>
            <a:ext uri="{FF2B5EF4-FFF2-40B4-BE49-F238E27FC236}">
              <a16:creationId xmlns:a16="http://schemas.microsoft.com/office/drawing/2014/main" xmlns="" id="{00000000-0008-0000-0200-00001F040000}"/>
            </a:ext>
          </a:extLst>
        </xdr:cNvPr>
        <xdr:cNvSpPr/>
      </xdr:nvSpPr>
      <xdr:spPr>
        <a:xfrm>
          <a:off x="85344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140</xdr:col>
      <xdr:colOff>0</xdr:colOff>
      <xdr:row>277</xdr:row>
      <xdr:rowOff>0</xdr:rowOff>
    </xdr:to>
    <xdr:cxnSp macro="">
      <xdr:nvCxnSpPr>
        <xdr:cNvPr id="1056" name="OpenSolver495">
          <a:extLst>
            <a:ext uri="{FF2B5EF4-FFF2-40B4-BE49-F238E27FC236}">
              <a16:creationId xmlns:a16="http://schemas.microsoft.com/office/drawing/2014/main" xmlns="" id="{00000000-0008-0000-0200-000020040000}"/>
            </a:ext>
          </a:extLst>
        </xdr:cNvPr>
        <xdr:cNvCxnSpPr>
          <a:stCxn id="1054" idx="0"/>
          <a:endCxn id="1055" idx="1"/>
        </xdr:cNvCxnSpPr>
      </xdr:nvCxnSpPr>
      <xdr:spPr>
        <a:xfrm flipV="1">
          <a:off x="19202400" y="857250"/>
          <a:ext cx="66141600" cy="5191125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266700</xdr:colOff>
      <xdr:row>140</xdr:row>
      <xdr:rowOff>15875</xdr:rowOff>
    </xdr:from>
    <xdr:to>
      <xdr:col>86</xdr:col>
      <xdr:colOff>38100</xdr:colOff>
      <xdr:row>141</xdr:row>
      <xdr:rowOff>79375</xdr:rowOff>
    </xdr:to>
    <xdr:sp macro="" textlink="">
      <xdr:nvSpPr>
        <xdr:cNvPr id="1057" name="OpenSolver496">
          <a:extLst>
            <a:ext uri="{FF2B5EF4-FFF2-40B4-BE49-F238E27FC236}">
              <a16:creationId xmlns:a16="http://schemas.microsoft.com/office/drawing/2014/main" xmlns="" id="{00000000-0008-0000-0200-000021040000}"/>
            </a:ext>
          </a:extLst>
        </xdr:cNvPr>
        <xdr:cNvSpPr/>
      </xdr:nvSpPr>
      <xdr:spPr>
        <a:xfrm>
          <a:off x="52082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304</xdr:row>
      <xdr:rowOff>0</xdr:rowOff>
    </xdr:from>
    <xdr:to>
      <xdr:col>32</xdr:col>
      <xdr:colOff>0</xdr:colOff>
      <xdr:row>313</xdr:row>
      <xdr:rowOff>0</xdr:rowOff>
    </xdr:to>
    <xdr:sp macro="" textlink="">
      <xdr:nvSpPr>
        <xdr:cNvPr id="1058" name="OpenSolver497">
          <a:extLst>
            <a:ext uri="{FF2B5EF4-FFF2-40B4-BE49-F238E27FC236}">
              <a16:creationId xmlns:a16="http://schemas.microsoft.com/office/drawing/2014/main" xmlns="" id="{00000000-0008-0000-0200-000022040000}"/>
            </a:ext>
          </a:extLst>
        </xdr:cNvPr>
        <xdr:cNvSpPr/>
      </xdr:nvSpPr>
      <xdr:spPr>
        <a:xfrm>
          <a:off x="188976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141</xdr:col>
      <xdr:colOff>0</xdr:colOff>
      <xdr:row>4</xdr:row>
      <xdr:rowOff>0</xdr:rowOff>
    </xdr:from>
    <xdr:to>
      <xdr:col>142</xdr:col>
      <xdr:colOff>0</xdr:colOff>
      <xdr:row>5</xdr:row>
      <xdr:rowOff>0</xdr:rowOff>
    </xdr:to>
    <xdr:sp macro="" textlink="">
      <xdr:nvSpPr>
        <xdr:cNvPr id="1059" name="OpenSolver498">
          <a:extLst>
            <a:ext uri="{FF2B5EF4-FFF2-40B4-BE49-F238E27FC236}">
              <a16:creationId xmlns:a16="http://schemas.microsoft.com/office/drawing/2014/main" xmlns="" id="{00000000-0008-0000-0200-000023040000}"/>
            </a:ext>
          </a:extLst>
        </xdr:cNvPr>
        <xdr:cNvSpPr/>
      </xdr:nvSpPr>
      <xdr:spPr>
        <a:xfrm>
          <a:off x="85953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31</xdr:col>
      <xdr:colOff>304800</xdr:colOff>
      <xdr:row>4</xdr:row>
      <xdr:rowOff>95250</xdr:rowOff>
    </xdr:from>
    <xdr:to>
      <xdr:col>141</xdr:col>
      <xdr:colOff>0</xdr:colOff>
      <xdr:row>304</xdr:row>
      <xdr:rowOff>0</xdr:rowOff>
    </xdr:to>
    <xdr:cxnSp macro="">
      <xdr:nvCxnSpPr>
        <xdr:cNvPr id="1060" name="OpenSolver499">
          <a:extLst>
            <a:ext uri="{FF2B5EF4-FFF2-40B4-BE49-F238E27FC236}">
              <a16:creationId xmlns:a16="http://schemas.microsoft.com/office/drawing/2014/main" xmlns="" id="{00000000-0008-0000-0200-000024040000}"/>
            </a:ext>
          </a:extLst>
        </xdr:cNvPr>
        <xdr:cNvCxnSpPr>
          <a:stCxn id="1058" idx="0"/>
          <a:endCxn id="1059" idx="1"/>
        </xdr:cNvCxnSpPr>
      </xdr:nvCxnSpPr>
      <xdr:spPr>
        <a:xfrm flipV="1">
          <a:off x="19202400" y="857250"/>
          <a:ext cx="66751200" cy="57054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571500</xdr:colOff>
      <xdr:row>153</xdr:row>
      <xdr:rowOff>111125</xdr:rowOff>
    </xdr:from>
    <xdr:to>
      <xdr:col>86</xdr:col>
      <xdr:colOff>342900</xdr:colOff>
      <xdr:row>154</xdr:row>
      <xdr:rowOff>174625</xdr:rowOff>
    </xdr:to>
    <xdr:sp macro="" textlink="">
      <xdr:nvSpPr>
        <xdr:cNvPr id="1061" name="OpenSolver500">
          <a:extLst>
            <a:ext uri="{FF2B5EF4-FFF2-40B4-BE49-F238E27FC236}">
              <a16:creationId xmlns:a16="http://schemas.microsoft.com/office/drawing/2014/main" xmlns="" id="{00000000-0008-0000-0200-000025040000}"/>
            </a:ext>
          </a:extLst>
        </xdr:cNvPr>
        <xdr:cNvSpPr/>
      </xdr:nvSpPr>
      <xdr:spPr>
        <a:xfrm>
          <a:off x="52387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313</xdr:row>
      <xdr:rowOff>0</xdr:rowOff>
    </xdr:from>
    <xdr:to>
      <xdr:col>32</xdr:col>
      <xdr:colOff>0</xdr:colOff>
      <xdr:row>315</xdr:row>
      <xdr:rowOff>0</xdr:rowOff>
    </xdr:to>
    <xdr:sp macro="" textlink="">
      <xdr:nvSpPr>
        <xdr:cNvPr id="1062" name="OpenSolver501">
          <a:extLst>
            <a:ext uri="{FF2B5EF4-FFF2-40B4-BE49-F238E27FC236}">
              <a16:creationId xmlns:a16="http://schemas.microsoft.com/office/drawing/2014/main" xmlns="" id="{00000000-0008-0000-0200-000026040000}"/>
            </a:ext>
          </a:extLst>
        </xdr:cNvPr>
        <xdr:cNvSpPr/>
      </xdr:nvSpPr>
      <xdr:spPr>
        <a:xfrm>
          <a:off x="188976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142</xdr:col>
      <xdr:colOff>0</xdr:colOff>
      <xdr:row>4</xdr:row>
      <xdr:rowOff>0</xdr:rowOff>
    </xdr:from>
    <xdr:to>
      <xdr:col>143</xdr:col>
      <xdr:colOff>0</xdr:colOff>
      <xdr:row>5</xdr:row>
      <xdr:rowOff>0</xdr:rowOff>
    </xdr:to>
    <xdr:sp macro="" textlink="">
      <xdr:nvSpPr>
        <xdr:cNvPr id="1063" name="OpenSolver502">
          <a:extLst>
            <a:ext uri="{FF2B5EF4-FFF2-40B4-BE49-F238E27FC236}">
              <a16:creationId xmlns:a16="http://schemas.microsoft.com/office/drawing/2014/main" xmlns="" id="{00000000-0008-0000-0200-000027040000}"/>
            </a:ext>
          </a:extLst>
        </xdr:cNvPr>
        <xdr:cNvSpPr/>
      </xdr:nvSpPr>
      <xdr:spPr>
        <a:xfrm>
          <a:off x="86563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142</xdr:col>
      <xdr:colOff>0</xdr:colOff>
      <xdr:row>314</xdr:row>
      <xdr:rowOff>0</xdr:rowOff>
    </xdr:to>
    <xdr:cxnSp macro="">
      <xdr:nvCxnSpPr>
        <xdr:cNvPr id="1064" name="OpenSolver503">
          <a:extLst>
            <a:ext uri="{FF2B5EF4-FFF2-40B4-BE49-F238E27FC236}">
              <a16:creationId xmlns:a16="http://schemas.microsoft.com/office/drawing/2014/main" xmlns="" id="{00000000-0008-0000-0200-000028040000}"/>
            </a:ext>
          </a:extLst>
        </xdr:cNvPr>
        <xdr:cNvCxnSpPr>
          <a:stCxn id="1062" idx="3"/>
          <a:endCxn id="1063" idx="1"/>
        </xdr:cNvCxnSpPr>
      </xdr:nvCxnSpPr>
      <xdr:spPr>
        <a:xfrm flipV="1">
          <a:off x="19507200" y="857250"/>
          <a:ext cx="67056000" cy="589597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419100</xdr:colOff>
      <xdr:row>158</xdr:row>
      <xdr:rowOff>111125</xdr:rowOff>
    </xdr:from>
    <xdr:to>
      <xdr:col>87</xdr:col>
      <xdr:colOff>190500</xdr:colOff>
      <xdr:row>159</xdr:row>
      <xdr:rowOff>174625</xdr:rowOff>
    </xdr:to>
    <xdr:sp macro="" textlink="">
      <xdr:nvSpPr>
        <xdr:cNvPr id="1065" name="OpenSolver504">
          <a:extLst>
            <a:ext uri="{FF2B5EF4-FFF2-40B4-BE49-F238E27FC236}">
              <a16:creationId xmlns:a16="http://schemas.microsoft.com/office/drawing/2014/main" xmlns="" id="{00000000-0008-0000-0200-000029040000}"/>
            </a:ext>
          </a:extLst>
        </xdr:cNvPr>
        <xdr:cNvSpPr/>
      </xdr:nvSpPr>
      <xdr:spPr>
        <a:xfrm>
          <a:off x="52844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0</xdr:colOff>
      <xdr:row>315</xdr:row>
      <xdr:rowOff>0</xdr:rowOff>
    </xdr:from>
    <xdr:to>
      <xdr:col>32</xdr:col>
      <xdr:colOff>0</xdr:colOff>
      <xdr:row>317</xdr:row>
      <xdr:rowOff>0</xdr:rowOff>
    </xdr:to>
    <xdr:sp macro="" textlink="">
      <xdr:nvSpPr>
        <xdr:cNvPr id="1066" name="OpenSolver505">
          <a:extLst>
            <a:ext uri="{FF2B5EF4-FFF2-40B4-BE49-F238E27FC236}">
              <a16:creationId xmlns:a16="http://schemas.microsoft.com/office/drawing/2014/main" xmlns="" id="{00000000-0008-0000-0200-00002A040000}"/>
            </a:ext>
          </a:extLst>
        </xdr:cNvPr>
        <xdr:cNvSpPr/>
      </xdr:nvSpPr>
      <xdr:spPr>
        <a:xfrm>
          <a:off x="188976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143</xdr:col>
      <xdr:colOff>0</xdr:colOff>
      <xdr:row>4</xdr:row>
      <xdr:rowOff>0</xdr:rowOff>
    </xdr:from>
    <xdr:to>
      <xdr:col>144</xdr:col>
      <xdr:colOff>0</xdr:colOff>
      <xdr:row>5</xdr:row>
      <xdr:rowOff>0</xdr:rowOff>
    </xdr:to>
    <xdr:sp macro="" textlink="">
      <xdr:nvSpPr>
        <xdr:cNvPr id="1067" name="OpenSolver506">
          <a:extLst>
            <a:ext uri="{FF2B5EF4-FFF2-40B4-BE49-F238E27FC236}">
              <a16:creationId xmlns:a16="http://schemas.microsoft.com/office/drawing/2014/main" xmlns="" id="{00000000-0008-0000-0200-00002B040000}"/>
            </a:ext>
          </a:extLst>
        </xdr:cNvPr>
        <xdr:cNvSpPr/>
      </xdr:nvSpPr>
      <xdr:spPr>
        <a:xfrm>
          <a:off x="87172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32</xdr:col>
      <xdr:colOff>0</xdr:colOff>
      <xdr:row>4</xdr:row>
      <xdr:rowOff>95250</xdr:rowOff>
    </xdr:from>
    <xdr:to>
      <xdr:col>143</xdr:col>
      <xdr:colOff>0</xdr:colOff>
      <xdr:row>316</xdr:row>
      <xdr:rowOff>0</xdr:rowOff>
    </xdr:to>
    <xdr:cxnSp macro="">
      <xdr:nvCxnSpPr>
        <xdr:cNvPr id="1068" name="OpenSolver507">
          <a:extLst>
            <a:ext uri="{FF2B5EF4-FFF2-40B4-BE49-F238E27FC236}">
              <a16:creationId xmlns:a16="http://schemas.microsoft.com/office/drawing/2014/main" xmlns="" id="{00000000-0008-0000-0200-00002C040000}"/>
            </a:ext>
          </a:extLst>
        </xdr:cNvPr>
        <xdr:cNvCxnSpPr>
          <a:stCxn id="1066" idx="3"/>
          <a:endCxn id="1067" idx="1"/>
        </xdr:cNvCxnSpPr>
      </xdr:nvCxnSpPr>
      <xdr:spPr>
        <a:xfrm flipV="1">
          <a:off x="19507200" y="857250"/>
          <a:ext cx="67665600" cy="59340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114300</xdr:colOff>
      <xdr:row>159</xdr:row>
      <xdr:rowOff>111125</xdr:rowOff>
    </xdr:from>
    <xdr:to>
      <xdr:col>87</xdr:col>
      <xdr:colOff>495300</xdr:colOff>
      <xdr:row>160</xdr:row>
      <xdr:rowOff>174625</xdr:rowOff>
    </xdr:to>
    <xdr:sp macro="" textlink="">
      <xdr:nvSpPr>
        <xdr:cNvPr id="1069" name="OpenSolver508">
          <a:extLst>
            <a:ext uri="{FF2B5EF4-FFF2-40B4-BE49-F238E27FC236}">
              <a16:creationId xmlns:a16="http://schemas.microsoft.com/office/drawing/2014/main" xmlns="" id="{00000000-0008-0000-0200-00002D040000}"/>
            </a:ext>
          </a:extLst>
        </xdr:cNvPr>
        <xdr:cNvSpPr/>
      </xdr:nvSpPr>
      <xdr:spPr>
        <a:xfrm>
          <a:off x="53149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18</xdr:row>
      <xdr:rowOff>0</xdr:rowOff>
    </xdr:from>
    <xdr:to>
      <xdr:col>33</xdr:col>
      <xdr:colOff>0</xdr:colOff>
      <xdr:row>102</xdr:row>
      <xdr:rowOff>0</xdr:rowOff>
    </xdr:to>
    <xdr:sp macro="" textlink="">
      <xdr:nvSpPr>
        <xdr:cNvPr id="1070" name="OpenSolver509">
          <a:extLst>
            <a:ext uri="{FF2B5EF4-FFF2-40B4-BE49-F238E27FC236}">
              <a16:creationId xmlns:a16="http://schemas.microsoft.com/office/drawing/2014/main" xmlns="" id="{00000000-0008-0000-0200-00002E040000}"/>
            </a:ext>
          </a:extLst>
        </xdr:cNvPr>
        <xdr:cNvSpPr/>
      </xdr:nvSpPr>
      <xdr:spPr>
        <a:xfrm>
          <a:off x="19507200" y="3429000"/>
          <a:ext cx="609600" cy="16002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144</xdr:col>
      <xdr:colOff>0</xdr:colOff>
      <xdr:row>4</xdr:row>
      <xdr:rowOff>0</xdr:rowOff>
    </xdr:from>
    <xdr:to>
      <xdr:col>145</xdr:col>
      <xdr:colOff>0</xdr:colOff>
      <xdr:row>5</xdr:row>
      <xdr:rowOff>0</xdr:rowOff>
    </xdr:to>
    <xdr:sp macro="" textlink="">
      <xdr:nvSpPr>
        <xdr:cNvPr id="1071" name="OpenSolver510">
          <a:extLst>
            <a:ext uri="{FF2B5EF4-FFF2-40B4-BE49-F238E27FC236}">
              <a16:creationId xmlns:a16="http://schemas.microsoft.com/office/drawing/2014/main" xmlns="" id="{00000000-0008-0000-0200-00002F040000}"/>
            </a:ext>
          </a:extLst>
        </xdr:cNvPr>
        <xdr:cNvSpPr/>
      </xdr:nvSpPr>
      <xdr:spPr>
        <a:xfrm>
          <a:off x="87782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144</xdr:col>
      <xdr:colOff>0</xdr:colOff>
      <xdr:row>18</xdr:row>
      <xdr:rowOff>0</xdr:rowOff>
    </xdr:to>
    <xdr:cxnSp macro="">
      <xdr:nvCxnSpPr>
        <xdr:cNvPr id="1072" name="OpenSolver511">
          <a:extLst>
            <a:ext uri="{FF2B5EF4-FFF2-40B4-BE49-F238E27FC236}">
              <a16:creationId xmlns:a16="http://schemas.microsoft.com/office/drawing/2014/main" xmlns="" id="{00000000-0008-0000-0200-000030040000}"/>
            </a:ext>
          </a:extLst>
        </xdr:cNvPr>
        <xdr:cNvCxnSpPr>
          <a:stCxn id="1070" idx="0"/>
          <a:endCxn id="1071" idx="1"/>
        </xdr:cNvCxnSpPr>
      </xdr:nvCxnSpPr>
      <xdr:spPr>
        <a:xfrm flipV="1">
          <a:off x="19812000" y="857250"/>
          <a:ext cx="67970400" cy="2571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571500</xdr:colOff>
      <xdr:row>10</xdr:row>
      <xdr:rowOff>111125</xdr:rowOff>
    </xdr:from>
    <xdr:to>
      <xdr:col>88</xdr:col>
      <xdr:colOff>342900</xdr:colOff>
      <xdr:row>11</xdr:row>
      <xdr:rowOff>174625</xdr:rowOff>
    </xdr:to>
    <xdr:sp macro="" textlink="">
      <xdr:nvSpPr>
        <xdr:cNvPr id="1073" name="OpenSolver512">
          <a:extLst>
            <a:ext uri="{FF2B5EF4-FFF2-40B4-BE49-F238E27FC236}">
              <a16:creationId xmlns:a16="http://schemas.microsoft.com/office/drawing/2014/main" xmlns="" id="{00000000-0008-0000-0200-000031040000}"/>
            </a:ext>
          </a:extLst>
        </xdr:cNvPr>
        <xdr:cNvSpPr/>
      </xdr:nvSpPr>
      <xdr:spPr>
        <a:xfrm>
          <a:off x="53606700" y="2016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102</xdr:row>
      <xdr:rowOff>0</xdr:rowOff>
    </xdr:from>
    <xdr:to>
      <xdr:col>33</xdr:col>
      <xdr:colOff>0</xdr:colOff>
      <xdr:row>127</xdr:row>
      <xdr:rowOff>0</xdr:rowOff>
    </xdr:to>
    <xdr:sp macro="" textlink="">
      <xdr:nvSpPr>
        <xdr:cNvPr id="1074" name="OpenSolver513">
          <a:extLst>
            <a:ext uri="{FF2B5EF4-FFF2-40B4-BE49-F238E27FC236}">
              <a16:creationId xmlns:a16="http://schemas.microsoft.com/office/drawing/2014/main" xmlns="" id="{00000000-0008-0000-0200-000032040000}"/>
            </a:ext>
          </a:extLst>
        </xdr:cNvPr>
        <xdr:cNvSpPr/>
      </xdr:nvSpPr>
      <xdr:spPr>
        <a:xfrm>
          <a:off x="19507200" y="19431000"/>
          <a:ext cx="609600" cy="4762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145</xdr:col>
      <xdr:colOff>0</xdr:colOff>
      <xdr:row>4</xdr:row>
      <xdr:rowOff>0</xdr:rowOff>
    </xdr:from>
    <xdr:to>
      <xdr:col>146</xdr:col>
      <xdr:colOff>0</xdr:colOff>
      <xdr:row>5</xdr:row>
      <xdr:rowOff>0</xdr:rowOff>
    </xdr:to>
    <xdr:sp macro="" textlink="">
      <xdr:nvSpPr>
        <xdr:cNvPr id="1075" name="OpenSolver514">
          <a:extLst>
            <a:ext uri="{FF2B5EF4-FFF2-40B4-BE49-F238E27FC236}">
              <a16:creationId xmlns:a16="http://schemas.microsoft.com/office/drawing/2014/main" xmlns="" id="{00000000-0008-0000-0200-000033040000}"/>
            </a:ext>
          </a:extLst>
        </xdr:cNvPr>
        <xdr:cNvSpPr/>
      </xdr:nvSpPr>
      <xdr:spPr>
        <a:xfrm>
          <a:off x="88392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145</xdr:col>
      <xdr:colOff>0</xdr:colOff>
      <xdr:row>102</xdr:row>
      <xdr:rowOff>0</xdr:rowOff>
    </xdr:to>
    <xdr:cxnSp macro="">
      <xdr:nvCxnSpPr>
        <xdr:cNvPr id="1076" name="OpenSolver515">
          <a:extLst>
            <a:ext uri="{FF2B5EF4-FFF2-40B4-BE49-F238E27FC236}">
              <a16:creationId xmlns:a16="http://schemas.microsoft.com/office/drawing/2014/main" xmlns="" id="{00000000-0008-0000-0200-000034040000}"/>
            </a:ext>
          </a:extLst>
        </xdr:cNvPr>
        <xdr:cNvCxnSpPr>
          <a:stCxn id="1074" idx="0"/>
          <a:endCxn id="1075" idx="1"/>
        </xdr:cNvCxnSpPr>
      </xdr:nvCxnSpPr>
      <xdr:spPr>
        <a:xfrm flipV="1">
          <a:off x="19812000" y="857250"/>
          <a:ext cx="68580000" cy="18573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266700</xdr:colOff>
      <xdr:row>52</xdr:row>
      <xdr:rowOff>111125</xdr:rowOff>
    </xdr:from>
    <xdr:to>
      <xdr:col>89</xdr:col>
      <xdr:colOff>38100</xdr:colOff>
      <xdr:row>53</xdr:row>
      <xdr:rowOff>174625</xdr:rowOff>
    </xdr:to>
    <xdr:sp macro="" textlink="">
      <xdr:nvSpPr>
        <xdr:cNvPr id="1077" name="OpenSolver516">
          <a:extLst>
            <a:ext uri="{FF2B5EF4-FFF2-40B4-BE49-F238E27FC236}">
              <a16:creationId xmlns:a16="http://schemas.microsoft.com/office/drawing/2014/main" xmlns="" id="{00000000-0008-0000-0200-000035040000}"/>
            </a:ext>
          </a:extLst>
        </xdr:cNvPr>
        <xdr:cNvSpPr/>
      </xdr:nvSpPr>
      <xdr:spPr>
        <a:xfrm>
          <a:off x="53911500" y="1001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127</xdr:row>
      <xdr:rowOff>0</xdr:rowOff>
    </xdr:from>
    <xdr:to>
      <xdr:col>33</xdr:col>
      <xdr:colOff>0</xdr:colOff>
      <xdr:row>135</xdr:row>
      <xdr:rowOff>0</xdr:rowOff>
    </xdr:to>
    <xdr:sp macro="" textlink="">
      <xdr:nvSpPr>
        <xdr:cNvPr id="1078" name="OpenSolver517">
          <a:extLst>
            <a:ext uri="{FF2B5EF4-FFF2-40B4-BE49-F238E27FC236}">
              <a16:creationId xmlns:a16="http://schemas.microsoft.com/office/drawing/2014/main" xmlns="" id="{00000000-0008-0000-0200-000036040000}"/>
            </a:ext>
          </a:extLst>
        </xdr:cNvPr>
        <xdr:cNvSpPr/>
      </xdr:nvSpPr>
      <xdr:spPr>
        <a:xfrm>
          <a:off x="19507200" y="24193500"/>
          <a:ext cx="609600" cy="1524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146</xdr:col>
      <xdr:colOff>0</xdr:colOff>
      <xdr:row>4</xdr:row>
      <xdr:rowOff>0</xdr:rowOff>
    </xdr:from>
    <xdr:to>
      <xdr:col>147</xdr:col>
      <xdr:colOff>0</xdr:colOff>
      <xdr:row>5</xdr:row>
      <xdr:rowOff>0</xdr:rowOff>
    </xdr:to>
    <xdr:sp macro="" textlink="">
      <xdr:nvSpPr>
        <xdr:cNvPr id="1079" name="OpenSolver518">
          <a:extLst>
            <a:ext uri="{FF2B5EF4-FFF2-40B4-BE49-F238E27FC236}">
              <a16:creationId xmlns:a16="http://schemas.microsoft.com/office/drawing/2014/main" xmlns="" id="{00000000-0008-0000-0200-000037040000}"/>
            </a:ext>
          </a:extLst>
        </xdr:cNvPr>
        <xdr:cNvSpPr/>
      </xdr:nvSpPr>
      <xdr:spPr>
        <a:xfrm>
          <a:off x="89001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146</xdr:col>
      <xdr:colOff>0</xdr:colOff>
      <xdr:row>131</xdr:row>
      <xdr:rowOff>0</xdr:rowOff>
    </xdr:to>
    <xdr:cxnSp macro="">
      <xdr:nvCxnSpPr>
        <xdr:cNvPr id="1080" name="OpenSolver519">
          <a:extLst>
            <a:ext uri="{FF2B5EF4-FFF2-40B4-BE49-F238E27FC236}">
              <a16:creationId xmlns:a16="http://schemas.microsoft.com/office/drawing/2014/main" xmlns="" id="{00000000-0008-0000-0200-000038040000}"/>
            </a:ext>
          </a:extLst>
        </xdr:cNvPr>
        <xdr:cNvCxnSpPr>
          <a:stCxn id="1078" idx="3"/>
          <a:endCxn id="1079" idx="1"/>
        </xdr:cNvCxnSpPr>
      </xdr:nvCxnSpPr>
      <xdr:spPr>
        <a:xfrm flipV="1">
          <a:off x="20116800" y="857250"/>
          <a:ext cx="68884800" cy="2409825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114300</xdr:colOff>
      <xdr:row>67</xdr:row>
      <xdr:rowOff>15875</xdr:rowOff>
    </xdr:from>
    <xdr:to>
      <xdr:col>89</xdr:col>
      <xdr:colOff>495300</xdr:colOff>
      <xdr:row>68</xdr:row>
      <xdr:rowOff>79375</xdr:rowOff>
    </xdr:to>
    <xdr:sp macro="" textlink="">
      <xdr:nvSpPr>
        <xdr:cNvPr id="1081" name="OpenSolver520">
          <a:extLst>
            <a:ext uri="{FF2B5EF4-FFF2-40B4-BE49-F238E27FC236}">
              <a16:creationId xmlns:a16="http://schemas.microsoft.com/office/drawing/2014/main" xmlns="" id="{00000000-0008-0000-0200-000039040000}"/>
            </a:ext>
          </a:extLst>
        </xdr:cNvPr>
        <xdr:cNvSpPr/>
      </xdr:nvSpPr>
      <xdr:spPr>
        <a:xfrm>
          <a:off x="54368700" y="127793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135</xdr:row>
      <xdr:rowOff>0</xdr:rowOff>
    </xdr:from>
    <xdr:to>
      <xdr:col>33</xdr:col>
      <xdr:colOff>0</xdr:colOff>
      <xdr:row>142</xdr:row>
      <xdr:rowOff>0</xdr:rowOff>
    </xdr:to>
    <xdr:sp macro="" textlink="">
      <xdr:nvSpPr>
        <xdr:cNvPr id="1082" name="OpenSolver521">
          <a:extLst>
            <a:ext uri="{FF2B5EF4-FFF2-40B4-BE49-F238E27FC236}">
              <a16:creationId xmlns:a16="http://schemas.microsoft.com/office/drawing/2014/main" xmlns="" id="{00000000-0008-0000-0200-00003A040000}"/>
            </a:ext>
          </a:extLst>
        </xdr:cNvPr>
        <xdr:cNvSpPr/>
      </xdr:nvSpPr>
      <xdr:spPr>
        <a:xfrm>
          <a:off x="19507200" y="25717500"/>
          <a:ext cx="609600" cy="1333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147</xdr:col>
      <xdr:colOff>0</xdr:colOff>
      <xdr:row>4</xdr:row>
      <xdr:rowOff>0</xdr:rowOff>
    </xdr:from>
    <xdr:to>
      <xdr:col>148</xdr:col>
      <xdr:colOff>0</xdr:colOff>
      <xdr:row>5</xdr:row>
      <xdr:rowOff>0</xdr:rowOff>
    </xdr:to>
    <xdr:sp macro="" textlink="">
      <xdr:nvSpPr>
        <xdr:cNvPr id="1083" name="OpenSolver522">
          <a:extLst>
            <a:ext uri="{FF2B5EF4-FFF2-40B4-BE49-F238E27FC236}">
              <a16:creationId xmlns:a16="http://schemas.microsoft.com/office/drawing/2014/main" xmlns="" id="{00000000-0008-0000-0200-00003B040000}"/>
            </a:ext>
          </a:extLst>
        </xdr:cNvPr>
        <xdr:cNvSpPr/>
      </xdr:nvSpPr>
      <xdr:spPr>
        <a:xfrm>
          <a:off x="89611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147</xdr:col>
      <xdr:colOff>0</xdr:colOff>
      <xdr:row>138</xdr:row>
      <xdr:rowOff>95250</xdr:rowOff>
    </xdr:to>
    <xdr:cxnSp macro="">
      <xdr:nvCxnSpPr>
        <xdr:cNvPr id="1084" name="OpenSolver523">
          <a:extLst>
            <a:ext uri="{FF2B5EF4-FFF2-40B4-BE49-F238E27FC236}">
              <a16:creationId xmlns:a16="http://schemas.microsoft.com/office/drawing/2014/main" xmlns="" id="{00000000-0008-0000-0200-00003C040000}"/>
            </a:ext>
          </a:extLst>
        </xdr:cNvPr>
        <xdr:cNvCxnSpPr>
          <a:stCxn id="1082" idx="3"/>
          <a:endCxn id="1083" idx="1"/>
        </xdr:cNvCxnSpPr>
      </xdr:nvCxnSpPr>
      <xdr:spPr>
        <a:xfrm flipV="1">
          <a:off x="20116800" y="857250"/>
          <a:ext cx="69494400" cy="255270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419100</xdr:colOff>
      <xdr:row>70</xdr:row>
      <xdr:rowOff>158750</xdr:rowOff>
    </xdr:from>
    <xdr:to>
      <xdr:col>90</xdr:col>
      <xdr:colOff>190500</xdr:colOff>
      <xdr:row>72</xdr:row>
      <xdr:rowOff>31750</xdr:rowOff>
    </xdr:to>
    <xdr:sp macro="" textlink="">
      <xdr:nvSpPr>
        <xdr:cNvPr id="1085" name="OpenSolver524">
          <a:extLst>
            <a:ext uri="{FF2B5EF4-FFF2-40B4-BE49-F238E27FC236}">
              <a16:creationId xmlns:a16="http://schemas.microsoft.com/office/drawing/2014/main" xmlns="" id="{00000000-0008-0000-0200-00003D040000}"/>
            </a:ext>
          </a:extLst>
        </xdr:cNvPr>
        <xdr:cNvSpPr/>
      </xdr:nvSpPr>
      <xdr:spPr>
        <a:xfrm>
          <a:off x="54673500" y="13493750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142</xdr:row>
      <xdr:rowOff>0</xdr:rowOff>
    </xdr:from>
    <xdr:to>
      <xdr:col>33</xdr:col>
      <xdr:colOff>0</xdr:colOff>
      <xdr:row>277</xdr:row>
      <xdr:rowOff>0</xdr:rowOff>
    </xdr:to>
    <xdr:sp macro="" textlink="">
      <xdr:nvSpPr>
        <xdr:cNvPr id="1086" name="OpenSolver525">
          <a:extLst>
            <a:ext uri="{FF2B5EF4-FFF2-40B4-BE49-F238E27FC236}">
              <a16:creationId xmlns:a16="http://schemas.microsoft.com/office/drawing/2014/main" xmlns="" id="{00000000-0008-0000-0200-00003E040000}"/>
            </a:ext>
          </a:extLst>
        </xdr:cNvPr>
        <xdr:cNvSpPr/>
      </xdr:nvSpPr>
      <xdr:spPr>
        <a:xfrm>
          <a:off x="19507200" y="27051000"/>
          <a:ext cx="609600" cy="25717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148</xdr:col>
      <xdr:colOff>0</xdr:colOff>
      <xdr:row>4</xdr:row>
      <xdr:rowOff>0</xdr:rowOff>
    </xdr:from>
    <xdr:to>
      <xdr:col>149</xdr:col>
      <xdr:colOff>0</xdr:colOff>
      <xdr:row>5</xdr:row>
      <xdr:rowOff>0</xdr:rowOff>
    </xdr:to>
    <xdr:sp macro="" textlink="">
      <xdr:nvSpPr>
        <xdr:cNvPr id="1087" name="OpenSolver526">
          <a:extLst>
            <a:ext uri="{FF2B5EF4-FFF2-40B4-BE49-F238E27FC236}">
              <a16:creationId xmlns:a16="http://schemas.microsoft.com/office/drawing/2014/main" xmlns="" id="{00000000-0008-0000-0200-00003F040000}"/>
            </a:ext>
          </a:extLst>
        </xdr:cNvPr>
        <xdr:cNvSpPr/>
      </xdr:nvSpPr>
      <xdr:spPr>
        <a:xfrm>
          <a:off x="902208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148</xdr:col>
      <xdr:colOff>0</xdr:colOff>
      <xdr:row>142</xdr:row>
      <xdr:rowOff>0</xdr:rowOff>
    </xdr:to>
    <xdr:cxnSp macro="">
      <xdr:nvCxnSpPr>
        <xdr:cNvPr id="1088" name="OpenSolver527">
          <a:extLst>
            <a:ext uri="{FF2B5EF4-FFF2-40B4-BE49-F238E27FC236}">
              <a16:creationId xmlns:a16="http://schemas.microsoft.com/office/drawing/2014/main" xmlns="" id="{00000000-0008-0000-0200-000040040000}"/>
            </a:ext>
          </a:extLst>
        </xdr:cNvPr>
        <xdr:cNvCxnSpPr>
          <a:stCxn id="1086" idx="0"/>
          <a:endCxn id="1087" idx="1"/>
        </xdr:cNvCxnSpPr>
      </xdr:nvCxnSpPr>
      <xdr:spPr>
        <a:xfrm flipV="1">
          <a:off x="19812000" y="857250"/>
          <a:ext cx="70408800" cy="2619375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89</xdr:col>
      <xdr:colOff>571500</xdr:colOff>
      <xdr:row>72</xdr:row>
      <xdr:rowOff>111125</xdr:rowOff>
    </xdr:from>
    <xdr:to>
      <xdr:col>90</xdr:col>
      <xdr:colOff>342900</xdr:colOff>
      <xdr:row>73</xdr:row>
      <xdr:rowOff>174625</xdr:rowOff>
    </xdr:to>
    <xdr:sp macro="" textlink="">
      <xdr:nvSpPr>
        <xdr:cNvPr id="1089" name="OpenSolver528">
          <a:extLst>
            <a:ext uri="{FF2B5EF4-FFF2-40B4-BE49-F238E27FC236}">
              <a16:creationId xmlns:a16="http://schemas.microsoft.com/office/drawing/2014/main" xmlns="" id="{00000000-0008-0000-0200-000041040000}"/>
            </a:ext>
          </a:extLst>
        </xdr:cNvPr>
        <xdr:cNvSpPr/>
      </xdr:nvSpPr>
      <xdr:spPr>
        <a:xfrm>
          <a:off x="54825900" y="13827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277</xdr:row>
      <xdr:rowOff>0</xdr:rowOff>
    </xdr:from>
    <xdr:to>
      <xdr:col>33</xdr:col>
      <xdr:colOff>0</xdr:colOff>
      <xdr:row>304</xdr:row>
      <xdr:rowOff>0</xdr:rowOff>
    </xdr:to>
    <xdr:sp macro="" textlink="">
      <xdr:nvSpPr>
        <xdr:cNvPr id="1090" name="OpenSolver529">
          <a:extLst>
            <a:ext uri="{FF2B5EF4-FFF2-40B4-BE49-F238E27FC236}">
              <a16:creationId xmlns:a16="http://schemas.microsoft.com/office/drawing/2014/main" xmlns="" id="{00000000-0008-0000-0200-000042040000}"/>
            </a:ext>
          </a:extLst>
        </xdr:cNvPr>
        <xdr:cNvSpPr/>
      </xdr:nvSpPr>
      <xdr:spPr>
        <a:xfrm>
          <a:off x="19507200" y="52768500"/>
          <a:ext cx="609600" cy="5143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149</xdr:col>
      <xdr:colOff>0</xdr:colOff>
      <xdr:row>4</xdr:row>
      <xdr:rowOff>0</xdr:rowOff>
    </xdr:from>
    <xdr:to>
      <xdr:col>150</xdr:col>
      <xdr:colOff>0</xdr:colOff>
      <xdr:row>5</xdr:row>
      <xdr:rowOff>0</xdr:rowOff>
    </xdr:to>
    <xdr:sp macro="" textlink="">
      <xdr:nvSpPr>
        <xdr:cNvPr id="1091" name="OpenSolver530">
          <a:extLst>
            <a:ext uri="{FF2B5EF4-FFF2-40B4-BE49-F238E27FC236}">
              <a16:creationId xmlns:a16="http://schemas.microsoft.com/office/drawing/2014/main" xmlns="" id="{00000000-0008-0000-0200-000043040000}"/>
            </a:ext>
          </a:extLst>
        </xdr:cNvPr>
        <xdr:cNvSpPr/>
      </xdr:nvSpPr>
      <xdr:spPr>
        <a:xfrm>
          <a:off x="908304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149</xdr:col>
      <xdr:colOff>0</xdr:colOff>
      <xdr:row>277</xdr:row>
      <xdr:rowOff>0</xdr:rowOff>
    </xdr:to>
    <xdr:cxnSp macro="">
      <xdr:nvCxnSpPr>
        <xdr:cNvPr id="1092" name="OpenSolver531">
          <a:extLst>
            <a:ext uri="{FF2B5EF4-FFF2-40B4-BE49-F238E27FC236}">
              <a16:creationId xmlns:a16="http://schemas.microsoft.com/office/drawing/2014/main" xmlns="" id="{00000000-0008-0000-0200-000044040000}"/>
            </a:ext>
          </a:extLst>
        </xdr:cNvPr>
        <xdr:cNvCxnSpPr>
          <a:stCxn id="1090" idx="0"/>
          <a:endCxn id="1091" idx="1"/>
        </xdr:cNvCxnSpPr>
      </xdr:nvCxnSpPr>
      <xdr:spPr>
        <a:xfrm flipV="1">
          <a:off x="19812000" y="857250"/>
          <a:ext cx="71018400" cy="5191125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266700</xdr:colOff>
      <xdr:row>140</xdr:row>
      <xdr:rowOff>15875</xdr:rowOff>
    </xdr:from>
    <xdr:to>
      <xdr:col>91</xdr:col>
      <xdr:colOff>38100</xdr:colOff>
      <xdr:row>141</xdr:row>
      <xdr:rowOff>79375</xdr:rowOff>
    </xdr:to>
    <xdr:sp macro="" textlink="">
      <xdr:nvSpPr>
        <xdr:cNvPr id="1093" name="OpenSolver532">
          <a:extLst>
            <a:ext uri="{FF2B5EF4-FFF2-40B4-BE49-F238E27FC236}">
              <a16:creationId xmlns:a16="http://schemas.microsoft.com/office/drawing/2014/main" xmlns="" id="{00000000-0008-0000-0200-000045040000}"/>
            </a:ext>
          </a:extLst>
        </xdr:cNvPr>
        <xdr:cNvSpPr/>
      </xdr:nvSpPr>
      <xdr:spPr>
        <a:xfrm>
          <a:off x="55130700" y="2668587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304</xdr:row>
      <xdr:rowOff>0</xdr:rowOff>
    </xdr:from>
    <xdr:to>
      <xdr:col>33</xdr:col>
      <xdr:colOff>0</xdr:colOff>
      <xdr:row>313</xdr:row>
      <xdr:rowOff>0</xdr:rowOff>
    </xdr:to>
    <xdr:sp macro="" textlink="">
      <xdr:nvSpPr>
        <xdr:cNvPr id="1094" name="OpenSolver533">
          <a:extLst>
            <a:ext uri="{FF2B5EF4-FFF2-40B4-BE49-F238E27FC236}">
              <a16:creationId xmlns:a16="http://schemas.microsoft.com/office/drawing/2014/main" xmlns="" id="{00000000-0008-0000-0200-000046040000}"/>
            </a:ext>
          </a:extLst>
        </xdr:cNvPr>
        <xdr:cNvSpPr/>
      </xdr:nvSpPr>
      <xdr:spPr>
        <a:xfrm>
          <a:off x="19507200" y="57912000"/>
          <a:ext cx="609600" cy="1714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150</xdr:col>
      <xdr:colOff>0</xdr:colOff>
      <xdr:row>4</xdr:row>
      <xdr:rowOff>0</xdr:rowOff>
    </xdr:from>
    <xdr:to>
      <xdr:col>151</xdr:col>
      <xdr:colOff>0</xdr:colOff>
      <xdr:row>5</xdr:row>
      <xdr:rowOff>0</xdr:rowOff>
    </xdr:to>
    <xdr:sp macro="" textlink="">
      <xdr:nvSpPr>
        <xdr:cNvPr id="1095" name="OpenSolver534">
          <a:extLst>
            <a:ext uri="{FF2B5EF4-FFF2-40B4-BE49-F238E27FC236}">
              <a16:creationId xmlns:a16="http://schemas.microsoft.com/office/drawing/2014/main" xmlns="" id="{00000000-0008-0000-0200-000047040000}"/>
            </a:ext>
          </a:extLst>
        </xdr:cNvPr>
        <xdr:cNvSpPr/>
      </xdr:nvSpPr>
      <xdr:spPr>
        <a:xfrm>
          <a:off x="914400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CC0099"/>
              </a:solidFill>
            </a:rPr>
            <a:t>≤</a:t>
          </a:r>
        </a:p>
      </xdr:txBody>
    </xdr:sp>
    <xdr:clientData/>
  </xdr:twoCellAnchor>
  <xdr:twoCellAnchor>
    <xdr:from>
      <xdr:col>32</xdr:col>
      <xdr:colOff>304800</xdr:colOff>
      <xdr:row>4</xdr:row>
      <xdr:rowOff>95250</xdr:rowOff>
    </xdr:from>
    <xdr:to>
      <xdr:col>150</xdr:col>
      <xdr:colOff>0</xdr:colOff>
      <xdr:row>304</xdr:row>
      <xdr:rowOff>0</xdr:rowOff>
    </xdr:to>
    <xdr:cxnSp macro="">
      <xdr:nvCxnSpPr>
        <xdr:cNvPr id="1096" name="OpenSolver535">
          <a:extLst>
            <a:ext uri="{FF2B5EF4-FFF2-40B4-BE49-F238E27FC236}">
              <a16:creationId xmlns:a16="http://schemas.microsoft.com/office/drawing/2014/main" xmlns="" id="{00000000-0008-0000-0200-000048040000}"/>
            </a:ext>
          </a:extLst>
        </xdr:cNvPr>
        <xdr:cNvCxnSpPr>
          <a:stCxn id="1094" idx="0"/>
          <a:endCxn id="1095" idx="1"/>
        </xdr:cNvCxnSpPr>
      </xdr:nvCxnSpPr>
      <xdr:spPr>
        <a:xfrm flipV="1">
          <a:off x="19812000" y="857250"/>
          <a:ext cx="71628000" cy="5705475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90</xdr:col>
      <xdr:colOff>571500</xdr:colOff>
      <xdr:row>153</xdr:row>
      <xdr:rowOff>111125</xdr:rowOff>
    </xdr:from>
    <xdr:to>
      <xdr:col>91</xdr:col>
      <xdr:colOff>342900</xdr:colOff>
      <xdr:row>154</xdr:row>
      <xdr:rowOff>174625</xdr:rowOff>
    </xdr:to>
    <xdr:sp macro="" textlink="">
      <xdr:nvSpPr>
        <xdr:cNvPr id="1097" name="OpenSolver536">
          <a:extLst>
            <a:ext uri="{FF2B5EF4-FFF2-40B4-BE49-F238E27FC236}">
              <a16:creationId xmlns:a16="http://schemas.microsoft.com/office/drawing/2014/main" xmlns="" id="{00000000-0008-0000-0200-000049040000}"/>
            </a:ext>
          </a:extLst>
        </xdr:cNvPr>
        <xdr:cNvSpPr/>
      </xdr:nvSpPr>
      <xdr:spPr>
        <a:xfrm>
          <a:off x="55435500" y="29257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313</xdr:row>
      <xdr:rowOff>0</xdr:rowOff>
    </xdr:from>
    <xdr:to>
      <xdr:col>33</xdr:col>
      <xdr:colOff>0</xdr:colOff>
      <xdr:row>315</xdr:row>
      <xdr:rowOff>0</xdr:rowOff>
    </xdr:to>
    <xdr:sp macro="" textlink="">
      <xdr:nvSpPr>
        <xdr:cNvPr id="1098" name="OpenSolver537">
          <a:extLst>
            <a:ext uri="{FF2B5EF4-FFF2-40B4-BE49-F238E27FC236}">
              <a16:creationId xmlns:a16="http://schemas.microsoft.com/office/drawing/2014/main" xmlns="" id="{00000000-0008-0000-0200-00004A040000}"/>
            </a:ext>
          </a:extLst>
        </xdr:cNvPr>
        <xdr:cNvSpPr/>
      </xdr:nvSpPr>
      <xdr:spPr>
        <a:xfrm>
          <a:off x="19507200" y="596265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151</xdr:col>
      <xdr:colOff>0</xdr:colOff>
      <xdr:row>4</xdr:row>
      <xdr:rowOff>0</xdr:rowOff>
    </xdr:from>
    <xdr:to>
      <xdr:col>152</xdr:col>
      <xdr:colOff>0</xdr:colOff>
      <xdr:row>5</xdr:row>
      <xdr:rowOff>0</xdr:rowOff>
    </xdr:to>
    <xdr:sp macro="" textlink="">
      <xdr:nvSpPr>
        <xdr:cNvPr id="1099" name="OpenSolver538">
          <a:extLst>
            <a:ext uri="{FF2B5EF4-FFF2-40B4-BE49-F238E27FC236}">
              <a16:creationId xmlns:a16="http://schemas.microsoft.com/office/drawing/2014/main" xmlns="" id="{00000000-0008-0000-0200-00004B040000}"/>
            </a:ext>
          </a:extLst>
        </xdr:cNvPr>
        <xdr:cNvSpPr/>
      </xdr:nvSpPr>
      <xdr:spPr>
        <a:xfrm>
          <a:off x="920496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151</xdr:col>
      <xdr:colOff>0</xdr:colOff>
      <xdr:row>314</xdr:row>
      <xdr:rowOff>0</xdr:rowOff>
    </xdr:to>
    <xdr:cxnSp macro="">
      <xdr:nvCxnSpPr>
        <xdr:cNvPr id="1100" name="OpenSolver539">
          <a:extLst>
            <a:ext uri="{FF2B5EF4-FFF2-40B4-BE49-F238E27FC236}">
              <a16:creationId xmlns:a16="http://schemas.microsoft.com/office/drawing/2014/main" xmlns="" id="{00000000-0008-0000-0200-00004C040000}"/>
            </a:ext>
          </a:extLst>
        </xdr:cNvPr>
        <xdr:cNvCxnSpPr>
          <a:stCxn id="1098" idx="3"/>
          <a:endCxn id="1099" idx="1"/>
        </xdr:cNvCxnSpPr>
      </xdr:nvCxnSpPr>
      <xdr:spPr>
        <a:xfrm flipV="1">
          <a:off x="20116800" y="857250"/>
          <a:ext cx="71932800" cy="589597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419100</xdr:colOff>
      <xdr:row>158</xdr:row>
      <xdr:rowOff>111125</xdr:rowOff>
    </xdr:from>
    <xdr:to>
      <xdr:col>92</xdr:col>
      <xdr:colOff>190500</xdr:colOff>
      <xdr:row>159</xdr:row>
      <xdr:rowOff>174625</xdr:rowOff>
    </xdr:to>
    <xdr:sp macro="" textlink="">
      <xdr:nvSpPr>
        <xdr:cNvPr id="1101" name="OpenSolver540">
          <a:extLst>
            <a:ext uri="{FF2B5EF4-FFF2-40B4-BE49-F238E27FC236}">
              <a16:creationId xmlns:a16="http://schemas.microsoft.com/office/drawing/2014/main" xmlns="" id="{00000000-0008-0000-0200-00004D040000}"/>
            </a:ext>
          </a:extLst>
        </xdr:cNvPr>
        <xdr:cNvSpPr/>
      </xdr:nvSpPr>
      <xdr:spPr>
        <a:xfrm>
          <a:off x="55892700" y="302101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0</xdr:colOff>
      <xdr:row>315</xdr:row>
      <xdr:rowOff>0</xdr:rowOff>
    </xdr:from>
    <xdr:to>
      <xdr:col>33</xdr:col>
      <xdr:colOff>0</xdr:colOff>
      <xdr:row>317</xdr:row>
      <xdr:rowOff>0</xdr:rowOff>
    </xdr:to>
    <xdr:sp macro="" textlink="">
      <xdr:nvSpPr>
        <xdr:cNvPr id="1102" name="OpenSolver541">
          <a:extLst>
            <a:ext uri="{FF2B5EF4-FFF2-40B4-BE49-F238E27FC236}">
              <a16:creationId xmlns:a16="http://schemas.microsoft.com/office/drawing/2014/main" xmlns="" id="{00000000-0008-0000-0200-00004E040000}"/>
            </a:ext>
          </a:extLst>
        </xdr:cNvPr>
        <xdr:cNvSpPr/>
      </xdr:nvSpPr>
      <xdr:spPr>
        <a:xfrm>
          <a:off x="19507200" y="600075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152</xdr:col>
      <xdr:colOff>0</xdr:colOff>
      <xdr:row>4</xdr:row>
      <xdr:rowOff>0</xdr:rowOff>
    </xdr:from>
    <xdr:to>
      <xdr:col>153</xdr:col>
      <xdr:colOff>0</xdr:colOff>
      <xdr:row>5</xdr:row>
      <xdr:rowOff>0</xdr:rowOff>
    </xdr:to>
    <xdr:sp macro="" textlink="">
      <xdr:nvSpPr>
        <xdr:cNvPr id="1103" name="OpenSolver542">
          <a:extLst>
            <a:ext uri="{FF2B5EF4-FFF2-40B4-BE49-F238E27FC236}">
              <a16:creationId xmlns:a16="http://schemas.microsoft.com/office/drawing/2014/main" xmlns="" id="{00000000-0008-0000-0200-00004F040000}"/>
            </a:ext>
          </a:extLst>
        </xdr:cNvPr>
        <xdr:cNvSpPr/>
      </xdr:nvSpPr>
      <xdr:spPr>
        <a:xfrm>
          <a:off x="92659200" y="7620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33</xdr:col>
      <xdr:colOff>0</xdr:colOff>
      <xdr:row>4</xdr:row>
      <xdr:rowOff>95250</xdr:rowOff>
    </xdr:from>
    <xdr:to>
      <xdr:col>152</xdr:col>
      <xdr:colOff>0</xdr:colOff>
      <xdr:row>316</xdr:row>
      <xdr:rowOff>0</xdr:rowOff>
    </xdr:to>
    <xdr:cxnSp macro="">
      <xdr:nvCxnSpPr>
        <xdr:cNvPr id="1104" name="OpenSolver543">
          <a:extLst>
            <a:ext uri="{FF2B5EF4-FFF2-40B4-BE49-F238E27FC236}">
              <a16:creationId xmlns:a16="http://schemas.microsoft.com/office/drawing/2014/main" xmlns="" id="{00000000-0008-0000-0200-000050040000}"/>
            </a:ext>
          </a:extLst>
        </xdr:cNvPr>
        <xdr:cNvCxnSpPr>
          <a:stCxn id="1102" idx="3"/>
          <a:endCxn id="1103" idx="1"/>
        </xdr:cNvCxnSpPr>
      </xdr:nvCxnSpPr>
      <xdr:spPr>
        <a:xfrm flipV="1">
          <a:off x="20116800" y="857250"/>
          <a:ext cx="72542400" cy="5934075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92</xdr:col>
      <xdr:colOff>114300</xdr:colOff>
      <xdr:row>159</xdr:row>
      <xdr:rowOff>111125</xdr:rowOff>
    </xdr:from>
    <xdr:to>
      <xdr:col>92</xdr:col>
      <xdr:colOff>495300</xdr:colOff>
      <xdr:row>160</xdr:row>
      <xdr:rowOff>174625</xdr:rowOff>
    </xdr:to>
    <xdr:sp macro="" textlink="">
      <xdr:nvSpPr>
        <xdr:cNvPr id="1105" name="OpenSolver544">
          <a:extLst>
            <a:ext uri="{FF2B5EF4-FFF2-40B4-BE49-F238E27FC236}">
              <a16:creationId xmlns:a16="http://schemas.microsoft.com/office/drawing/2014/main" xmlns="" id="{00000000-0008-0000-0200-000051040000}"/>
            </a:ext>
          </a:extLst>
        </xdr:cNvPr>
        <xdr:cNvSpPr/>
      </xdr:nvSpPr>
      <xdr:spPr>
        <a:xfrm>
          <a:off x="56197500" y="30400625"/>
          <a:ext cx="381000" cy="254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12700</xdr:colOff>
      <xdr:row>4</xdr:row>
      <xdr:rowOff>12700</xdr:rowOff>
    </xdr:from>
    <xdr:to>
      <xdr:col>153</xdr:col>
      <xdr:colOff>0</xdr:colOff>
      <xdr:row>5</xdr:row>
      <xdr:rowOff>0</xdr:rowOff>
    </xdr:to>
    <xdr:sp macro="" textlink="">
      <xdr:nvSpPr>
        <xdr:cNvPr id="1106" name="OpenSolver545">
          <a:extLst>
            <a:ext uri="{FF2B5EF4-FFF2-40B4-BE49-F238E27FC236}">
              <a16:creationId xmlns:a16="http://schemas.microsoft.com/office/drawing/2014/main" xmlns="" id="{00000000-0008-0000-0200-000052040000}"/>
            </a:ext>
          </a:extLst>
        </xdr:cNvPr>
        <xdr:cNvSpPr/>
      </xdr:nvSpPr>
      <xdr:spPr>
        <a:xfrm>
          <a:off x="10985500" y="774700"/>
          <a:ext cx="822833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3</xdr:row>
      <xdr:rowOff>127000</xdr:rowOff>
    </xdr:from>
    <xdr:to>
      <xdr:col>18</xdr:col>
      <xdr:colOff>321242</xdr:colOff>
      <xdr:row>4</xdr:row>
      <xdr:rowOff>63500</xdr:rowOff>
    </xdr:to>
    <xdr:sp macro="" textlink="">
      <xdr:nvSpPr>
        <xdr:cNvPr id="1107" name="OpenSolver546">
          <a:extLst>
            <a:ext uri="{FF2B5EF4-FFF2-40B4-BE49-F238E27FC236}">
              <a16:creationId xmlns:a16="http://schemas.microsoft.com/office/drawing/2014/main" xmlns="" id="{00000000-0008-0000-0200-000053040000}"/>
            </a:ext>
          </a:extLst>
        </xdr:cNvPr>
        <xdr:cNvSpPr/>
      </xdr:nvSpPr>
      <xdr:spPr>
        <a:xfrm>
          <a:off x="10972800" y="6985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  <xdr:twoCellAnchor>
    <xdr:from>
      <xdr:col>7</xdr:col>
      <xdr:colOff>12700</xdr:colOff>
      <xdr:row>18</xdr:row>
      <xdr:rowOff>12700</xdr:rowOff>
    </xdr:from>
    <xdr:to>
      <xdr:col>33</xdr:col>
      <xdr:colOff>0</xdr:colOff>
      <xdr:row>317</xdr:row>
      <xdr:rowOff>0</xdr:rowOff>
    </xdr:to>
    <xdr:sp macro="" textlink="">
      <xdr:nvSpPr>
        <xdr:cNvPr id="1108" name="OpenSolver547">
          <a:extLst>
            <a:ext uri="{FF2B5EF4-FFF2-40B4-BE49-F238E27FC236}">
              <a16:creationId xmlns:a16="http://schemas.microsoft.com/office/drawing/2014/main" xmlns="" id="{00000000-0008-0000-0200-000054040000}"/>
            </a:ext>
          </a:extLst>
        </xdr:cNvPr>
        <xdr:cNvSpPr/>
      </xdr:nvSpPr>
      <xdr:spPr>
        <a:xfrm>
          <a:off x="4279900" y="3441700"/>
          <a:ext cx="15836900" cy="56946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127000</xdr:rowOff>
    </xdr:from>
    <xdr:to>
      <xdr:col>7</xdr:col>
      <xdr:colOff>321242</xdr:colOff>
      <xdr:row>18</xdr:row>
      <xdr:rowOff>63500</xdr:rowOff>
    </xdr:to>
    <xdr:sp macro="" textlink="">
      <xdr:nvSpPr>
        <xdr:cNvPr id="1109" name="OpenSolver548">
          <a:extLst>
            <a:ext uri="{FF2B5EF4-FFF2-40B4-BE49-F238E27FC236}">
              <a16:creationId xmlns:a16="http://schemas.microsoft.com/office/drawing/2014/main" xmlns="" id="{00000000-0008-0000-0200-000055040000}"/>
            </a:ext>
          </a:extLst>
        </xdr:cNvPr>
        <xdr:cNvSpPr/>
      </xdr:nvSpPr>
      <xdr:spPr>
        <a:xfrm>
          <a:off x="4267200" y="3365500"/>
          <a:ext cx="321242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binary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K7" sqref="K7"/>
    </sheetView>
  </sheetViews>
  <sheetFormatPr defaultRowHeight="15" x14ac:dyDescent="0.25"/>
  <cols>
    <col min="1" max="16384" width="9.140625" style="1"/>
  </cols>
  <sheetData/>
  <sheetProtection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ButtonStart_Click">
                <anchor moveWithCells="1" sizeWithCells="1">
                  <from>
                    <xdr:col>8</xdr:col>
                    <xdr:colOff>123825</xdr:colOff>
                    <xdr:row>8</xdr:row>
                    <xdr:rowOff>57150</xdr:rowOff>
                  </from>
                  <to>
                    <xdr:col>11</xdr:col>
                    <xdr:colOff>419100</xdr:colOff>
                    <xdr:row>13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300"/>
  <sheetViews>
    <sheetView workbookViewId="0">
      <selection sqref="A1:G300"/>
    </sheetView>
  </sheetViews>
  <sheetFormatPr defaultRowHeight="15" x14ac:dyDescent="0.25"/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56</v>
      </c>
      <c r="I1" t="s">
        <v>57</v>
      </c>
      <c r="J1" t="s">
        <v>58</v>
      </c>
      <c r="L1" t="s">
        <v>66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U1" t="s">
        <v>67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</row>
    <row r="2" spans="1:27" x14ac:dyDescent="0.25">
      <c r="A2">
        <v>1</v>
      </c>
      <c r="B2">
        <v>1</v>
      </c>
      <c r="C2">
        <v>23000</v>
      </c>
      <c r="D2">
        <v>0</v>
      </c>
      <c r="E2">
        <v>4</v>
      </c>
      <c r="F2" t="s">
        <v>7</v>
      </c>
      <c r="G2">
        <v>4</v>
      </c>
      <c r="L2" t="s">
        <v>22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U2" t="s">
        <v>22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 x14ac:dyDescent="0.25">
      <c r="A3">
        <v>2</v>
      </c>
      <c r="B3">
        <v>1</v>
      </c>
      <c r="C3">
        <v>23000</v>
      </c>
      <c r="D3">
        <v>2</v>
      </c>
      <c r="E3">
        <v>6</v>
      </c>
      <c r="F3" t="s">
        <v>8</v>
      </c>
      <c r="G3">
        <v>3</v>
      </c>
      <c r="L3" t="s">
        <v>23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U3" t="s">
        <v>23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 x14ac:dyDescent="0.25">
      <c r="A4">
        <v>3</v>
      </c>
      <c r="B4">
        <v>2</v>
      </c>
      <c r="C4">
        <v>25830</v>
      </c>
      <c r="D4">
        <v>2</v>
      </c>
      <c r="E4">
        <v>7</v>
      </c>
      <c r="F4" t="s">
        <v>9</v>
      </c>
      <c r="G4">
        <v>3</v>
      </c>
      <c r="L4" t="s">
        <v>24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U4" t="s">
        <v>24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 x14ac:dyDescent="0.25">
      <c r="A5">
        <v>4</v>
      </c>
      <c r="B5">
        <v>1</v>
      </c>
      <c r="C5">
        <v>18715</v>
      </c>
      <c r="D5">
        <v>5</v>
      </c>
      <c r="E5">
        <v>9</v>
      </c>
      <c r="F5" t="s">
        <v>10</v>
      </c>
      <c r="G5">
        <v>3</v>
      </c>
      <c r="L5" t="s">
        <v>25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U5" t="s">
        <v>25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 x14ac:dyDescent="0.25">
      <c r="A6">
        <v>5</v>
      </c>
      <c r="B6">
        <v>1</v>
      </c>
      <c r="C6">
        <v>8737</v>
      </c>
      <c r="D6">
        <v>4</v>
      </c>
      <c r="E6">
        <v>7</v>
      </c>
      <c r="F6" t="s">
        <v>7</v>
      </c>
      <c r="G6">
        <v>3</v>
      </c>
      <c r="L6" t="s">
        <v>26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U6" t="s">
        <v>26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 x14ac:dyDescent="0.25">
      <c r="A7">
        <v>6</v>
      </c>
      <c r="B7">
        <v>2</v>
      </c>
      <c r="C7">
        <v>22929</v>
      </c>
      <c r="D7">
        <v>0</v>
      </c>
      <c r="E7">
        <v>5</v>
      </c>
      <c r="F7" t="s">
        <v>10</v>
      </c>
      <c r="G7">
        <v>3</v>
      </c>
      <c r="L7" t="s">
        <v>27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U7" t="s">
        <v>27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 x14ac:dyDescent="0.25">
      <c r="A8">
        <v>7</v>
      </c>
      <c r="B8">
        <v>2</v>
      </c>
      <c r="C8">
        <v>22929</v>
      </c>
      <c r="D8">
        <v>4</v>
      </c>
      <c r="E8">
        <v>8</v>
      </c>
      <c r="F8" t="s">
        <v>7</v>
      </c>
      <c r="G8">
        <v>2</v>
      </c>
      <c r="L8" t="s">
        <v>28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U8" t="s">
        <v>28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 x14ac:dyDescent="0.25">
      <c r="A9">
        <v>8</v>
      </c>
      <c r="B9">
        <v>2</v>
      </c>
      <c r="C9">
        <v>26482</v>
      </c>
      <c r="D9">
        <v>2</v>
      </c>
      <c r="E9">
        <v>5</v>
      </c>
      <c r="F9" t="s">
        <v>7</v>
      </c>
      <c r="G9">
        <v>4</v>
      </c>
      <c r="L9" t="s">
        <v>29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U9" t="s">
        <v>29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 x14ac:dyDescent="0.25">
      <c r="A10">
        <v>9</v>
      </c>
      <c r="B10">
        <v>2</v>
      </c>
      <c r="C10">
        <v>21500</v>
      </c>
      <c r="D10">
        <v>6</v>
      </c>
      <c r="E10">
        <v>11</v>
      </c>
      <c r="F10" t="s">
        <v>7</v>
      </c>
      <c r="G10">
        <v>4</v>
      </c>
      <c r="L10" t="s">
        <v>30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U10" t="s">
        <v>30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 x14ac:dyDescent="0.25">
      <c r="A11">
        <v>10</v>
      </c>
      <c r="B11">
        <v>2</v>
      </c>
      <c r="C11">
        <v>10600</v>
      </c>
      <c r="D11">
        <v>5</v>
      </c>
      <c r="E11">
        <v>10</v>
      </c>
      <c r="F11" t="s">
        <v>7</v>
      </c>
      <c r="G11">
        <v>3</v>
      </c>
      <c r="L11" t="s">
        <v>31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U11" t="s">
        <v>31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 x14ac:dyDescent="0.25">
      <c r="A12">
        <v>11</v>
      </c>
      <c r="B12">
        <v>2</v>
      </c>
      <c r="C12">
        <v>10600</v>
      </c>
      <c r="D12">
        <v>1</v>
      </c>
      <c r="E12">
        <v>4</v>
      </c>
      <c r="F12" t="s">
        <v>10</v>
      </c>
      <c r="G12">
        <v>4</v>
      </c>
      <c r="L12" t="s">
        <v>82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U12" t="s">
        <v>82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 x14ac:dyDescent="0.25">
      <c r="A13">
        <v>12</v>
      </c>
      <c r="B13">
        <v>2</v>
      </c>
      <c r="C13">
        <v>7849</v>
      </c>
      <c r="D13">
        <v>4</v>
      </c>
      <c r="E13">
        <v>9</v>
      </c>
      <c r="F13" t="s">
        <v>11</v>
      </c>
      <c r="G13">
        <v>3</v>
      </c>
    </row>
    <row r="14" spans="1:27" x14ac:dyDescent="0.25">
      <c r="A14">
        <v>13</v>
      </c>
      <c r="B14">
        <v>1</v>
      </c>
      <c r="C14">
        <v>5649</v>
      </c>
      <c r="D14">
        <v>5</v>
      </c>
      <c r="E14">
        <v>9</v>
      </c>
      <c r="F14" t="s">
        <v>12</v>
      </c>
      <c r="G14">
        <v>5</v>
      </c>
    </row>
    <row r="15" spans="1:27" x14ac:dyDescent="0.25">
      <c r="A15">
        <v>14</v>
      </c>
      <c r="B15">
        <v>2</v>
      </c>
      <c r="C15">
        <v>20655</v>
      </c>
      <c r="D15">
        <v>-1</v>
      </c>
      <c r="E15">
        <v>2</v>
      </c>
      <c r="F15" t="s">
        <v>11</v>
      </c>
      <c r="G15">
        <v>4</v>
      </c>
      <c r="L15" t="s">
        <v>1</v>
      </c>
      <c r="M15" t="s">
        <v>59</v>
      </c>
      <c r="N15" t="s">
        <v>60</v>
      </c>
      <c r="O15" t="s">
        <v>61</v>
      </c>
      <c r="P15" t="s">
        <v>62</v>
      </c>
      <c r="Q15" t="s">
        <v>63</v>
      </c>
      <c r="R15" t="s">
        <v>64</v>
      </c>
      <c r="S15" t="s">
        <v>65</v>
      </c>
    </row>
    <row r="16" spans="1:27" x14ac:dyDescent="0.25">
      <c r="A16">
        <v>15</v>
      </c>
      <c r="B16">
        <v>1</v>
      </c>
      <c r="C16">
        <v>10898</v>
      </c>
      <c r="D16">
        <v>3</v>
      </c>
      <c r="E16">
        <v>8</v>
      </c>
      <c r="F16" t="s">
        <v>7</v>
      </c>
      <c r="G16">
        <v>5</v>
      </c>
      <c r="L16" t="s">
        <v>22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25">
      <c r="A17">
        <v>16</v>
      </c>
      <c r="B17">
        <v>2</v>
      </c>
      <c r="C17">
        <v>26236</v>
      </c>
      <c r="D17">
        <v>6</v>
      </c>
      <c r="E17">
        <v>10</v>
      </c>
      <c r="F17" t="s">
        <v>10</v>
      </c>
      <c r="G17">
        <v>3</v>
      </c>
      <c r="L17" t="s">
        <v>23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 x14ac:dyDescent="0.25">
      <c r="A18">
        <v>17</v>
      </c>
      <c r="B18">
        <v>1</v>
      </c>
      <c r="C18">
        <v>24084</v>
      </c>
      <c r="D18">
        <v>3</v>
      </c>
      <c r="E18">
        <v>8</v>
      </c>
      <c r="F18" t="s">
        <v>10</v>
      </c>
      <c r="G18">
        <v>3</v>
      </c>
      <c r="L18" t="s">
        <v>24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25">
      <c r="A19">
        <v>18</v>
      </c>
      <c r="B19">
        <v>2</v>
      </c>
      <c r="C19">
        <v>18361</v>
      </c>
      <c r="D19">
        <v>6</v>
      </c>
      <c r="E19">
        <v>11</v>
      </c>
      <c r="F19" t="s">
        <v>13</v>
      </c>
      <c r="G19">
        <v>4</v>
      </c>
      <c r="L19" t="s">
        <v>25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25">
      <c r="A20">
        <v>19</v>
      </c>
      <c r="B20">
        <v>1</v>
      </c>
      <c r="C20">
        <v>5520</v>
      </c>
      <c r="D20">
        <v>0</v>
      </c>
      <c r="E20">
        <v>4</v>
      </c>
      <c r="F20" t="s">
        <v>7</v>
      </c>
      <c r="G20">
        <v>3</v>
      </c>
      <c r="L20" t="s">
        <v>26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25">
      <c r="A21">
        <v>20</v>
      </c>
      <c r="B21">
        <v>2</v>
      </c>
      <c r="C21">
        <v>8950</v>
      </c>
      <c r="D21">
        <v>1</v>
      </c>
      <c r="E21">
        <v>6</v>
      </c>
      <c r="F21" t="s">
        <v>12</v>
      </c>
      <c r="G21">
        <v>3</v>
      </c>
      <c r="L21" t="s">
        <v>27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25">
      <c r="A22">
        <v>21</v>
      </c>
      <c r="B22">
        <v>2</v>
      </c>
      <c r="C22">
        <v>8950</v>
      </c>
      <c r="D22">
        <v>4</v>
      </c>
      <c r="E22">
        <v>7</v>
      </c>
      <c r="F22" t="s">
        <v>14</v>
      </c>
      <c r="G22">
        <v>4</v>
      </c>
      <c r="L22" t="s">
        <v>28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25">
      <c r="A23">
        <v>22</v>
      </c>
      <c r="B23">
        <v>2</v>
      </c>
      <c r="C23">
        <v>9382</v>
      </c>
      <c r="D23">
        <v>4</v>
      </c>
      <c r="E23">
        <v>7</v>
      </c>
      <c r="F23" t="s">
        <v>10</v>
      </c>
      <c r="G23">
        <v>4</v>
      </c>
      <c r="L23" t="s">
        <v>29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 x14ac:dyDescent="0.25">
      <c r="A24">
        <v>23</v>
      </c>
      <c r="B24">
        <v>2</v>
      </c>
      <c r="C24">
        <v>9382</v>
      </c>
      <c r="D24">
        <v>-1</v>
      </c>
      <c r="E24">
        <v>4</v>
      </c>
      <c r="F24" t="s">
        <v>10</v>
      </c>
      <c r="G24">
        <v>6</v>
      </c>
      <c r="L24" t="s">
        <v>30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25">
      <c r="A25">
        <v>24</v>
      </c>
      <c r="B25">
        <v>2</v>
      </c>
      <c r="C25">
        <v>9382</v>
      </c>
      <c r="D25">
        <v>4</v>
      </c>
      <c r="E25">
        <v>7</v>
      </c>
      <c r="F25" t="s">
        <v>10</v>
      </c>
      <c r="G25">
        <v>3</v>
      </c>
      <c r="L25" t="s">
        <v>31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25">
      <c r="A26">
        <v>25</v>
      </c>
      <c r="B26">
        <v>2</v>
      </c>
      <c r="C26">
        <v>9382</v>
      </c>
      <c r="D26">
        <v>6</v>
      </c>
      <c r="E26">
        <v>9</v>
      </c>
      <c r="F26" t="s">
        <v>7</v>
      </c>
      <c r="G26">
        <v>4</v>
      </c>
      <c r="L26" t="s">
        <v>82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25">
      <c r="A27">
        <v>26</v>
      </c>
      <c r="B27">
        <v>2</v>
      </c>
      <c r="C27">
        <v>9382</v>
      </c>
      <c r="D27">
        <v>5</v>
      </c>
      <c r="E27">
        <v>8</v>
      </c>
      <c r="F27" t="s">
        <v>10</v>
      </c>
      <c r="G27">
        <v>3</v>
      </c>
    </row>
    <row r="28" spans="1:19" x14ac:dyDescent="0.25">
      <c r="A28">
        <v>27</v>
      </c>
      <c r="B28">
        <v>2</v>
      </c>
      <c r="C28">
        <v>9382</v>
      </c>
      <c r="D28">
        <v>1</v>
      </c>
      <c r="E28">
        <v>4</v>
      </c>
      <c r="F28" t="s">
        <v>10</v>
      </c>
      <c r="G28">
        <v>4</v>
      </c>
    </row>
    <row r="29" spans="1:19" x14ac:dyDescent="0.25">
      <c r="A29">
        <v>28</v>
      </c>
      <c r="B29">
        <v>2</v>
      </c>
      <c r="C29">
        <v>9382</v>
      </c>
      <c r="D29">
        <v>5</v>
      </c>
      <c r="E29">
        <v>10</v>
      </c>
      <c r="F29" t="s">
        <v>8</v>
      </c>
      <c r="G29">
        <v>3</v>
      </c>
      <c r="L29" t="s">
        <v>2</v>
      </c>
      <c r="M29" t="s">
        <v>59</v>
      </c>
      <c r="N29" t="s">
        <v>60</v>
      </c>
      <c r="O29" t="s">
        <v>61</v>
      </c>
      <c r="P29" t="s">
        <v>62</v>
      </c>
      <c r="Q29" t="s">
        <v>63</v>
      </c>
      <c r="R29" t="s">
        <v>64</v>
      </c>
      <c r="S29" t="s">
        <v>65</v>
      </c>
    </row>
    <row r="30" spans="1:19" x14ac:dyDescent="0.25">
      <c r="A30">
        <v>29</v>
      </c>
      <c r="B30">
        <v>1</v>
      </c>
      <c r="C30">
        <v>5756</v>
      </c>
      <c r="D30">
        <v>4</v>
      </c>
      <c r="E30">
        <v>7</v>
      </c>
      <c r="F30" t="s">
        <v>7</v>
      </c>
      <c r="G30">
        <v>4</v>
      </c>
      <c r="L30" t="s">
        <v>22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25">
      <c r="A31">
        <v>30</v>
      </c>
      <c r="B31">
        <v>2</v>
      </c>
      <c r="C31">
        <v>22950</v>
      </c>
      <c r="D31">
        <v>5</v>
      </c>
      <c r="E31">
        <v>9</v>
      </c>
      <c r="F31" t="s">
        <v>10</v>
      </c>
      <c r="G31">
        <v>4</v>
      </c>
      <c r="L31" t="s">
        <v>23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25">
      <c r="A32">
        <v>31</v>
      </c>
      <c r="B32">
        <v>2</v>
      </c>
      <c r="C32">
        <v>8950</v>
      </c>
      <c r="D32">
        <v>0</v>
      </c>
      <c r="E32">
        <v>3</v>
      </c>
      <c r="F32" t="s">
        <v>7</v>
      </c>
      <c r="G32">
        <v>5</v>
      </c>
      <c r="L32" t="s">
        <v>24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25">
      <c r="A33">
        <v>32</v>
      </c>
      <c r="B33">
        <v>2</v>
      </c>
      <c r="C33">
        <v>8950</v>
      </c>
      <c r="D33">
        <v>6</v>
      </c>
      <c r="E33">
        <v>10</v>
      </c>
      <c r="F33" t="s">
        <v>7</v>
      </c>
      <c r="G33">
        <v>4</v>
      </c>
      <c r="L33" t="s">
        <v>25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25">
      <c r="A34">
        <v>33</v>
      </c>
      <c r="B34">
        <v>2</v>
      </c>
      <c r="C34">
        <v>8950</v>
      </c>
      <c r="D34">
        <v>5</v>
      </c>
      <c r="E34">
        <v>9</v>
      </c>
      <c r="F34" t="s">
        <v>10</v>
      </c>
      <c r="G34">
        <v>3</v>
      </c>
      <c r="L34" t="s">
        <v>26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 x14ac:dyDescent="0.25">
      <c r="A35">
        <v>34</v>
      </c>
      <c r="B35">
        <v>2</v>
      </c>
      <c r="C35">
        <v>8950</v>
      </c>
      <c r="D35">
        <v>1</v>
      </c>
      <c r="E35">
        <v>6</v>
      </c>
      <c r="F35" t="s">
        <v>10</v>
      </c>
      <c r="G35">
        <v>3</v>
      </c>
      <c r="L35" t="s">
        <v>27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25">
      <c r="A36">
        <v>35</v>
      </c>
      <c r="B36">
        <v>2</v>
      </c>
      <c r="C36">
        <v>8950</v>
      </c>
      <c r="D36">
        <v>2</v>
      </c>
      <c r="E36">
        <v>5</v>
      </c>
      <c r="F36" t="s">
        <v>7</v>
      </c>
      <c r="G36">
        <v>3</v>
      </c>
      <c r="L36" t="s">
        <v>28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 x14ac:dyDescent="0.25">
      <c r="A37">
        <v>36</v>
      </c>
      <c r="B37">
        <v>2</v>
      </c>
      <c r="C37">
        <v>8950</v>
      </c>
      <c r="D37">
        <v>5</v>
      </c>
      <c r="E37">
        <v>8</v>
      </c>
      <c r="F37" t="s">
        <v>9</v>
      </c>
      <c r="G37">
        <v>4</v>
      </c>
      <c r="L37" t="s">
        <v>29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25">
      <c r="A38">
        <v>37</v>
      </c>
      <c r="B38">
        <v>2</v>
      </c>
      <c r="C38">
        <v>8950</v>
      </c>
      <c r="D38">
        <v>2</v>
      </c>
      <c r="E38">
        <v>7</v>
      </c>
      <c r="F38" t="s">
        <v>7</v>
      </c>
      <c r="G38">
        <v>3</v>
      </c>
      <c r="L38" t="s">
        <v>30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25">
      <c r="A39">
        <v>38</v>
      </c>
      <c r="B39">
        <v>2</v>
      </c>
      <c r="C39">
        <v>8950</v>
      </c>
      <c r="D39">
        <v>5</v>
      </c>
      <c r="E39">
        <v>9</v>
      </c>
      <c r="F39" t="s">
        <v>10</v>
      </c>
      <c r="G39">
        <v>4</v>
      </c>
      <c r="L39" t="s">
        <v>31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25">
      <c r="A40">
        <v>39</v>
      </c>
      <c r="B40">
        <v>2</v>
      </c>
      <c r="C40">
        <v>8950</v>
      </c>
      <c r="D40">
        <v>3</v>
      </c>
      <c r="E40">
        <v>7</v>
      </c>
      <c r="F40" t="s">
        <v>8</v>
      </c>
      <c r="G40">
        <v>3</v>
      </c>
      <c r="L40" t="s">
        <v>82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25">
      <c r="A41">
        <v>40</v>
      </c>
      <c r="B41">
        <v>2</v>
      </c>
      <c r="C41">
        <v>8612</v>
      </c>
      <c r="D41">
        <v>1</v>
      </c>
      <c r="E41">
        <v>6</v>
      </c>
      <c r="F41" t="s">
        <v>7</v>
      </c>
      <c r="G41">
        <v>3</v>
      </c>
    </row>
    <row r="42" spans="1:19" x14ac:dyDescent="0.25">
      <c r="A42">
        <v>41</v>
      </c>
      <c r="B42">
        <v>2</v>
      </c>
      <c r="C42">
        <v>8950</v>
      </c>
      <c r="D42">
        <v>5</v>
      </c>
      <c r="E42">
        <v>9</v>
      </c>
      <c r="F42" t="s">
        <v>10</v>
      </c>
      <c r="G42">
        <v>4</v>
      </c>
    </row>
    <row r="43" spans="1:19" x14ac:dyDescent="0.25">
      <c r="A43">
        <v>42</v>
      </c>
      <c r="B43">
        <v>2</v>
      </c>
      <c r="C43">
        <v>7226</v>
      </c>
      <c r="D43">
        <v>4</v>
      </c>
      <c r="E43">
        <v>7</v>
      </c>
      <c r="F43" t="s">
        <v>10</v>
      </c>
      <c r="G43">
        <v>4</v>
      </c>
    </row>
    <row r="44" spans="1:19" x14ac:dyDescent="0.25">
      <c r="A44">
        <v>43</v>
      </c>
      <c r="B44">
        <v>2</v>
      </c>
      <c r="C44">
        <v>22950</v>
      </c>
      <c r="D44">
        <v>3</v>
      </c>
      <c r="E44">
        <v>7</v>
      </c>
      <c r="F44" t="s">
        <v>7</v>
      </c>
      <c r="G44">
        <v>4</v>
      </c>
    </row>
    <row r="45" spans="1:19" x14ac:dyDescent="0.25">
      <c r="A45">
        <v>44</v>
      </c>
      <c r="B45">
        <v>2</v>
      </c>
      <c r="C45">
        <v>22950</v>
      </c>
      <c r="D45">
        <v>0</v>
      </c>
      <c r="E45">
        <v>4</v>
      </c>
      <c r="F45" t="s">
        <v>7</v>
      </c>
      <c r="G45">
        <v>3</v>
      </c>
    </row>
    <row r="46" spans="1:19" x14ac:dyDescent="0.25">
      <c r="A46">
        <v>45</v>
      </c>
      <c r="B46">
        <v>2</v>
      </c>
      <c r="C46">
        <v>22950</v>
      </c>
      <c r="D46">
        <v>2</v>
      </c>
      <c r="E46">
        <v>5</v>
      </c>
      <c r="F46" t="s">
        <v>12</v>
      </c>
      <c r="G46">
        <v>3</v>
      </c>
    </row>
    <row r="47" spans="1:19" x14ac:dyDescent="0.25">
      <c r="A47">
        <v>46</v>
      </c>
      <c r="B47">
        <v>2</v>
      </c>
      <c r="C47">
        <v>9150</v>
      </c>
      <c r="D47">
        <v>-1</v>
      </c>
      <c r="E47">
        <v>2</v>
      </c>
      <c r="F47" t="s">
        <v>14</v>
      </c>
      <c r="G47">
        <v>3</v>
      </c>
    </row>
    <row r="48" spans="1:19" x14ac:dyDescent="0.25">
      <c r="A48">
        <v>47</v>
      </c>
      <c r="B48">
        <v>1</v>
      </c>
      <c r="C48">
        <v>7200</v>
      </c>
      <c r="D48">
        <v>3</v>
      </c>
      <c r="E48">
        <v>7</v>
      </c>
      <c r="F48" t="s">
        <v>10</v>
      </c>
      <c r="G48">
        <v>4</v>
      </c>
    </row>
    <row r="49" spans="1:7" x14ac:dyDescent="0.25">
      <c r="A49">
        <v>48</v>
      </c>
      <c r="B49">
        <v>2</v>
      </c>
      <c r="C49">
        <v>8950</v>
      </c>
      <c r="D49">
        <v>6</v>
      </c>
      <c r="E49">
        <v>11</v>
      </c>
      <c r="F49" t="s">
        <v>10</v>
      </c>
      <c r="G49">
        <v>5</v>
      </c>
    </row>
    <row r="50" spans="1:7" x14ac:dyDescent="0.25">
      <c r="A50">
        <v>49</v>
      </c>
      <c r="B50">
        <v>2</v>
      </c>
      <c r="C50">
        <v>8420</v>
      </c>
      <c r="D50">
        <v>-1</v>
      </c>
      <c r="E50">
        <v>2</v>
      </c>
      <c r="F50" t="s">
        <v>7</v>
      </c>
      <c r="G50">
        <v>4</v>
      </c>
    </row>
    <row r="51" spans="1:7" x14ac:dyDescent="0.25">
      <c r="A51">
        <v>50</v>
      </c>
      <c r="B51">
        <v>2</v>
      </c>
      <c r="C51">
        <v>9361</v>
      </c>
      <c r="D51">
        <v>0</v>
      </c>
      <c r="E51">
        <v>3</v>
      </c>
      <c r="F51" t="s">
        <v>7</v>
      </c>
      <c r="G51">
        <v>4</v>
      </c>
    </row>
    <row r="52" spans="1:7" x14ac:dyDescent="0.25">
      <c r="A52">
        <v>51</v>
      </c>
      <c r="B52">
        <v>2</v>
      </c>
      <c r="C52">
        <v>8950</v>
      </c>
      <c r="D52">
        <v>1</v>
      </c>
      <c r="E52">
        <v>4</v>
      </c>
      <c r="F52" t="s">
        <v>7</v>
      </c>
      <c r="G52">
        <v>3</v>
      </c>
    </row>
    <row r="53" spans="1:7" x14ac:dyDescent="0.25">
      <c r="A53">
        <v>52</v>
      </c>
      <c r="B53">
        <v>2</v>
      </c>
      <c r="C53">
        <v>8950</v>
      </c>
      <c r="D53">
        <v>0</v>
      </c>
      <c r="E53">
        <v>4</v>
      </c>
      <c r="F53" t="s">
        <v>14</v>
      </c>
      <c r="G53">
        <v>2</v>
      </c>
    </row>
    <row r="54" spans="1:7" x14ac:dyDescent="0.25">
      <c r="A54">
        <v>53</v>
      </c>
      <c r="B54">
        <v>2</v>
      </c>
      <c r="C54">
        <v>9045</v>
      </c>
      <c r="D54">
        <v>0</v>
      </c>
      <c r="E54">
        <v>3</v>
      </c>
      <c r="F54" t="s">
        <v>14</v>
      </c>
      <c r="G54">
        <v>4</v>
      </c>
    </row>
    <row r="55" spans="1:7" x14ac:dyDescent="0.25">
      <c r="A55">
        <v>54</v>
      </c>
      <c r="B55">
        <v>1</v>
      </c>
      <c r="C55">
        <v>2000</v>
      </c>
      <c r="D55">
        <v>6</v>
      </c>
      <c r="E55">
        <v>9</v>
      </c>
      <c r="F55" t="s">
        <v>7</v>
      </c>
      <c r="G55">
        <v>3</v>
      </c>
    </row>
    <row r="56" spans="1:7" x14ac:dyDescent="0.25">
      <c r="A56">
        <v>55</v>
      </c>
      <c r="B56">
        <v>2</v>
      </c>
      <c r="C56">
        <v>24200</v>
      </c>
      <c r="D56">
        <v>3</v>
      </c>
      <c r="E56">
        <v>6</v>
      </c>
      <c r="F56" t="s">
        <v>10</v>
      </c>
      <c r="G56">
        <v>3</v>
      </c>
    </row>
    <row r="57" spans="1:7" x14ac:dyDescent="0.25">
      <c r="A57">
        <v>56</v>
      </c>
      <c r="B57">
        <v>1</v>
      </c>
      <c r="C57">
        <v>22300</v>
      </c>
      <c r="D57">
        <v>3</v>
      </c>
      <c r="E57">
        <v>7</v>
      </c>
      <c r="F57" t="s">
        <v>8</v>
      </c>
      <c r="G57">
        <v>3</v>
      </c>
    </row>
    <row r="58" spans="1:7" x14ac:dyDescent="0.25">
      <c r="A58">
        <v>57</v>
      </c>
      <c r="B58">
        <v>2</v>
      </c>
      <c r="C58">
        <v>27418</v>
      </c>
      <c r="D58">
        <v>3</v>
      </c>
      <c r="E58">
        <v>8</v>
      </c>
      <c r="F58" t="s">
        <v>7</v>
      </c>
      <c r="G58">
        <v>5</v>
      </c>
    </row>
    <row r="59" spans="1:7" x14ac:dyDescent="0.25">
      <c r="A59">
        <v>58</v>
      </c>
      <c r="B59">
        <v>2</v>
      </c>
      <c r="C59">
        <v>23088</v>
      </c>
      <c r="D59">
        <v>2</v>
      </c>
      <c r="E59">
        <v>5</v>
      </c>
      <c r="F59" t="s">
        <v>7</v>
      </c>
      <c r="G59">
        <v>4</v>
      </c>
    </row>
    <row r="60" spans="1:7" x14ac:dyDescent="0.25">
      <c r="A60">
        <v>59</v>
      </c>
      <c r="B60">
        <v>2</v>
      </c>
      <c r="C60">
        <v>16200</v>
      </c>
      <c r="D60">
        <v>4</v>
      </c>
      <c r="E60">
        <v>7</v>
      </c>
      <c r="F60" t="s">
        <v>10</v>
      </c>
      <c r="G60">
        <v>3</v>
      </c>
    </row>
    <row r="61" spans="1:7" x14ac:dyDescent="0.25">
      <c r="A61">
        <v>60</v>
      </c>
      <c r="B61">
        <v>2</v>
      </c>
      <c r="C61">
        <v>14200</v>
      </c>
      <c r="D61">
        <v>3</v>
      </c>
      <c r="E61">
        <v>8</v>
      </c>
      <c r="F61" t="s">
        <v>7</v>
      </c>
      <c r="G61">
        <v>3</v>
      </c>
    </row>
    <row r="62" spans="1:7" x14ac:dyDescent="0.25">
      <c r="A62">
        <v>61</v>
      </c>
      <c r="B62">
        <v>2</v>
      </c>
      <c r="C62">
        <v>22440</v>
      </c>
      <c r="D62">
        <v>2</v>
      </c>
      <c r="E62">
        <v>6</v>
      </c>
      <c r="F62" t="s">
        <v>7</v>
      </c>
      <c r="G62">
        <v>5</v>
      </c>
    </row>
    <row r="63" spans="1:7" x14ac:dyDescent="0.25">
      <c r="A63">
        <v>62</v>
      </c>
      <c r="B63">
        <v>2</v>
      </c>
      <c r="C63">
        <v>12068</v>
      </c>
      <c r="D63">
        <v>3</v>
      </c>
      <c r="E63">
        <v>7</v>
      </c>
      <c r="F63" t="s">
        <v>7</v>
      </c>
      <c r="G63">
        <v>4</v>
      </c>
    </row>
    <row r="64" spans="1:7" x14ac:dyDescent="0.25">
      <c r="A64">
        <v>63</v>
      </c>
      <c r="B64">
        <v>2</v>
      </c>
      <c r="C64">
        <v>9200</v>
      </c>
      <c r="D64">
        <v>4</v>
      </c>
      <c r="E64">
        <v>8</v>
      </c>
      <c r="F64" t="s">
        <v>10</v>
      </c>
      <c r="G64">
        <v>4</v>
      </c>
    </row>
    <row r="65" spans="1:7" x14ac:dyDescent="0.25">
      <c r="A65">
        <v>64</v>
      </c>
      <c r="B65">
        <v>2</v>
      </c>
      <c r="C65">
        <v>9200</v>
      </c>
      <c r="D65">
        <v>5</v>
      </c>
      <c r="E65">
        <v>8</v>
      </c>
      <c r="F65" t="s">
        <v>7</v>
      </c>
      <c r="G65">
        <v>3</v>
      </c>
    </row>
    <row r="66" spans="1:7" x14ac:dyDescent="0.25">
      <c r="A66">
        <v>65</v>
      </c>
      <c r="B66">
        <v>2</v>
      </c>
      <c r="C66">
        <v>9200</v>
      </c>
      <c r="D66">
        <v>4</v>
      </c>
      <c r="E66">
        <v>7</v>
      </c>
      <c r="F66" t="s">
        <v>12</v>
      </c>
      <c r="G66">
        <v>3</v>
      </c>
    </row>
    <row r="67" spans="1:7" x14ac:dyDescent="0.25">
      <c r="A67">
        <v>66</v>
      </c>
      <c r="B67">
        <v>2</v>
      </c>
      <c r="C67">
        <v>9200</v>
      </c>
      <c r="D67">
        <v>3</v>
      </c>
      <c r="E67">
        <v>6</v>
      </c>
      <c r="F67" t="s">
        <v>10</v>
      </c>
      <c r="G67">
        <v>3</v>
      </c>
    </row>
    <row r="68" spans="1:7" x14ac:dyDescent="0.25">
      <c r="A68">
        <v>67</v>
      </c>
      <c r="B68">
        <v>2</v>
      </c>
      <c r="C68">
        <v>13852</v>
      </c>
      <c r="D68">
        <v>4</v>
      </c>
      <c r="E68">
        <v>7</v>
      </c>
      <c r="F68" t="s">
        <v>12</v>
      </c>
      <c r="G68">
        <v>3</v>
      </c>
    </row>
    <row r="69" spans="1:7" x14ac:dyDescent="0.25">
      <c r="A69">
        <v>68</v>
      </c>
      <c r="B69">
        <v>2</v>
      </c>
      <c r="C69">
        <v>12456</v>
      </c>
      <c r="D69">
        <v>0</v>
      </c>
      <c r="E69">
        <v>5</v>
      </c>
      <c r="F69" t="s">
        <v>10</v>
      </c>
      <c r="G69">
        <v>3</v>
      </c>
    </row>
    <row r="70" spans="1:7" x14ac:dyDescent="0.25">
      <c r="A70">
        <v>69</v>
      </c>
      <c r="B70">
        <v>2</v>
      </c>
      <c r="C70">
        <v>11400</v>
      </c>
      <c r="D70">
        <v>4</v>
      </c>
      <c r="E70">
        <v>9</v>
      </c>
      <c r="F70" t="s">
        <v>11</v>
      </c>
      <c r="G70">
        <v>4</v>
      </c>
    </row>
    <row r="71" spans="1:7" x14ac:dyDescent="0.25">
      <c r="A71">
        <v>70</v>
      </c>
      <c r="B71">
        <v>2</v>
      </c>
      <c r="C71">
        <v>7856</v>
      </c>
      <c r="D71">
        <v>3</v>
      </c>
      <c r="E71">
        <v>7</v>
      </c>
      <c r="F71" t="s">
        <v>14</v>
      </c>
      <c r="G71">
        <v>3</v>
      </c>
    </row>
    <row r="72" spans="1:7" x14ac:dyDescent="0.25">
      <c r="A72">
        <v>71</v>
      </c>
      <c r="B72">
        <v>2</v>
      </c>
      <c r="C72">
        <v>12450</v>
      </c>
      <c r="D72">
        <v>4</v>
      </c>
      <c r="E72">
        <v>8</v>
      </c>
      <c r="F72" t="s">
        <v>10</v>
      </c>
      <c r="G72">
        <v>5</v>
      </c>
    </row>
    <row r="73" spans="1:7" x14ac:dyDescent="0.25">
      <c r="A73">
        <v>72</v>
      </c>
      <c r="B73">
        <v>2</v>
      </c>
      <c r="C73">
        <v>23950</v>
      </c>
      <c r="D73">
        <v>3</v>
      </c>
      <c r="E73">
        <v>6</v>
      </c>
      <c r="F73" t="s">
        <v>7</v>
      </c>
      <c r="G73">
        <v>2</v>
      </c>
    </row>
    <row r="74" spans="1:7" x14ac:dyDescent="0.25">
      <c r="A74">
        <v>73</v>
      </c>
      <c r="B74">
        <v>2</v>
      </c>
      <c r="C74">
        <v>18950</v>
      </c>
      <c r="D74">
        <v>4</v>
      </c>
      <c r="E74">
        <v>9</v>
      </c>
      <c r="F74" t="s">
        <v>10</v>
      </c>
      <c r="G74">
        <v>4</v>
      </c>
    </row>
    <row r="75" spans="1:7" x14ac:dyDescent="0.25">
      <c r="A75">
        <v>74</v>
      </c>
      <c r="B75">
        <v>1</v>
      </c>
      <c r="C75">
        <v>2315</v>
      </c>
      <c r="D75">
        <v>4</v>
      </c>
      <c r="E75">
        <v>9</v>
      </c>
      <c r="F75" t="s">
        <v>10</v>
      </c>
      <c r="G75">
        <v>3</v>
      </c>
    </row>
    <row r="76" spans="1:7" x14ac:dyDescent="0.25">
      <c r="A76">
        <v>75</v>
      </c>
      <c r="B76">
        <v>2</v>
      </c>
      <c r="C76">
        <v>9301</v>
      </c>
      <c r="D76">
        <v>2</v>
      </c>
      <c r="E76">
        <v>7</v>
      </c>
      <c r="F76" t="s">
        <v>12</v>
      </c>
      <c r="G76">
        <v>4</v>
      </c>
    </row>
    <row r="77" spans="1:7" x14ac:dyDescent="0.25">
      <c r="A77">
        <v>76</v>
      </c>
      <c r="B77">
        <v>2</v>
      </c>
      <c r="C77">
        <v>6318</v>
      </c>
      <c r="D77">
        <v>3</v>
      </c>
      <c r="E77">
        <v>8</v>
      </c>
      <c r="F77" t="s">
        <v>7</v>
      </c>
      <c r="G77">
        <v>4</v>
      </c>
    </row>
    <row r="78" spans="1:7" x14ac:dyDescent="0.25">
      <c r="A78">
        <v>77</v>
      </c>
      <c r="B78">
        <v>2</v>
      </c>
      <c r="C78">
        <v>24200</v>
      </c>
      <c r="D78">
        <v>0</v>
      </c>
      <c r="E78">
        <v>4</v>
      </c>
      <c r="F78" t="s">
        <v>7</v>
      </c>
      <c r="G78">
        <v>5</v>
      </c>
    </row>
    <row r="79" spans="1:7" x14ac:dyDescent="0.25">
      <c r="A79">
        <v>78</v>
      </c>
      <c r="B79">
        <v>2</v>
      </c>
      <c r="C79">
        <v>24200</v>
      </c>
      <c r="D79">
        <v>2</v>
      </c>
      <c r="E79">
        <v>6</v>
      </c>
      <c r="F79" t="s">
        <v>7</v>
      </c>
      <c r="G79">
        <v>3</v>
      </c>
    </row>
    <row r="80" spans="1:7" x14ac:dyDescent="0.25">
      <c r="A80">
        <v>79</v>
      </c>
      <c r="B80">
        <v>2</v>
      </c>
      <c r="C80">
        <v>8450</v>
      </c>
      <c r="D80">
        <v>4</v>
      </c>
      <c r="E80">
        <v>9</v>
      </c>
      <c r="F80" t="s">
        <v>13</v>
      </c>
      <c r="G80">
        <v>4</v>
      </c>
    </row>
    <row r="81" spans="1:7" x14ac:dyDescent="0.25">
      <c r="A81">
        <v>80</v>
      </c>
      <c r="B81">
        <v>2</v>
      </c>
      <c r="C81">
        <v>10032</v>
      </c>
      <c r="D81">
        <v>3</v>
      </c>
      <c r="E81">
        <v>8</v>
      </c>
      <c r="F81" t="s">
        <v>10</v>
      </c>
      <c r="G81">
        <v>3</v>
      </c>
    </row>
    <row r="82" spans="1:7" x14ac:dyDescent="0.25">
      <c r="A82">
        <v>81</v>
      </c>
      <c r="B82">
        <v>2</v>
      </c>
      <c r="C82">
        <v>9200</v>
      </c>
      <c r="D82">
        <v>3</v>
      </c>
      <c r="E82">
        <v>8</v>
      </c>
      <c r="F82" t="s">
        <v>8</v>
      </c>
      <c r="G82">
        <v>3</v>
      </c>
    </row>
    <row r="83" spans="1:7" x14ac:dyDescent="0.25">
      <c r="A83">
        <v>82</v>
      </c>
      <c r="B83">
        <v>2</v>
      </c>
      <c r="C83">
        <v>4200</v>
      </c>
      <c r="D83">
        <v>2</v>
      </c>
      <c r="E83">
        <v>7</v>
      </c>
      <c r="F83" t="s">
        <v>8</v>
      </c>
      <c r="G83">
        <v>3</v>
      </c>
    </row>
    <row r="84" spans="1:7" x14ac:dyDescent="0.25">
      <c r="A84">
        <v>83</v>
      </c>
      <c r="B84">
        <v>2</v>
      </c>
      <c r="C84">
        <v>8192</v>
      </c>
      <c r="D84">
        <v>5</v>
      </c>
      <c r="E84">
        <v>10</v>
      </c>
      <c r="F84" t="s">
        <v>8</v>
      </c>
      <c r="G84">
        <v>4</v>
      </c>
    </row>
    <row r="85" spans="1:7" x14ac:dyDescent="0.25">
      <c r="A85">
        <v>84</v>
      </c>
      <c r="B85">
        <v>2</v>
      </c>
      <c r="C85">
        <v>8192</v>
      </c>
      <c r="D85">
        <v>-1</v>
      </c>
      <c r="E85">
        <v>2</v>
      </c>
      <c r="F85" t="s">
        <v>8</v>
      </c>
      <c r="G85">
        <v>3</v>
      </c>
    </row>
    <row r="86" spans="1:7" x14ac:dyDescent="0.25">
      <c r="A86">
        <v>85</v>
      </c>
      <c r="B86">
        <v>1</v>
      </c>
      <c r="C86">
        <v>14660</v>
      </c>
      <c r="D86">
        <v>4</v>
      </c>
      <c r="E86">
        <v>7</v>
      </c>
      <c r="F86" t="s">
        <v>10</v>
      </c>
      <c r="G86">
        <v>5</v>
      </c>
    </row>
    <row r="87" spans="1:7" x14ac:dyDescent="0.25">
      <c r="A87">
        <v>86</v>
      </c>
      <c r="B87">
        <v>2</v>
      </c>
      <c r="C87">
        <v>10331</v>
      </c>
      <c r="D87">
        <v>3</v>
      </c>
      <c r="E87">
        <v>8</v>
      </c>
      <c r="F87" t="s">
        <v>7</v>
      </c>
      <c r="G87">
        <v>5</v>
      </c>
    </row>
    <row r="88" spans="1:7" x14ac:dyDescent="0.25">
      <c r="A88">
        <v>87</v>
      </c>
      <c r="B88">
        <v>2</v>
      </c>
      <c r="C88">
        <v>23460</v>
      </c>
      <c r="D88">
        <v>3</v>
      </c>
      <c r="E88">
        <v>8</v>
      </c>
      <c r="F88" t="s">
        <v>7</v>
      </c>
      <c r="G88">
        <v>3</v>
      </c>
    </row>
    <row r="89" spans="1:7" x14ac:dyDescent="0.25">
      <c r="A89">
        <v>88</v>
      </c>
      <c r="B89">
        <v>2</v>
      </c>
      <c r="C89">
        <v>30696</v>
      </c>
      <c r="D89">
        <v>4</v>
      </c>
      <c r="E89">
        <v>8</v>
      </c>
      <c r="F89" t="s">
        <v>10</v>
      </c>
      <c r="G89">
        <v>4</v>
      </c>
    </row>
    <row r="90" spans="1:7" x14ac:dyDescent="0.25">
      <c r="A90">
        <v>89</v>
      </c>
      <c r="B90">
        <v>2</v>
      </c>
      <c r="C90">
        <v>30696</v>
      </c>
      <c r="D90">
        <v>2</v>
      </c>
      <c r="E90">
        <v>6</v>
      </c>
      <c r="F90" t="s">
        <v>8</v>
      </c>
      <c r="G90">
        <v>3</v>
      </c>
    </row>
    <row r="91" spans="1:7" x14ac:dyDescent="0.25">
      <c r="A91">
        <v>90</v>
      </c>
      <c r="B91">
        <v>2</v>
      </c>
      <c r="C91">
        <v>29960</v>
      </c>
      <c r="D91">
        <v>3</v>
      </c>
      <c r="E91">
        <v>6</v>
      </c>
      <c r="F91" t="s">
        <v>8</v>
      </c>
      <c r="G91">
        <v>3</v>
      </c>
    </row>
    <row r="92" spans="1:7" x14ac:dyDescent="0.25">
      <c r="A92">
        <v>91</v>
      </c>
      <c r="B92">
        <v>2</v>
      </c>
      <c r="C92">
        <v>28730</v>
      </c>
      <c r="D92">
        <v>4</v>
      </c>
      <c r="E92">
        <v>7</v>
      </c>
      <c r="F92" t="s">
        <v>12</v>
      </c>
      <c r="G92">
        <v>3</v>
      </c>
    </row>
    <row r="93" spans="1:7" x14ac:dyDescent="0.25">
      <c r="A93">
        <v>92</v>
      </c>
      <c r="B93">
        <v>2</v>
      </c>
      <c r="C93">
        <v>29100</v>
      </c>
      <c r="D93">
        <v>0</v>
      </c>
      <c r="E93">
        <v>4</v>
      </c>
      <c r="F93" t="s">
        <v>7</v>
      </c>
      <c r="G93">
        <v>2</v>
      </c>
    </row>
    <row r="94" spans="1:7" x14ac:dyDescent="0.25">
      <c r="A94">
        <v>93</v>
      </c>
      <c r="B94">
        <v>2</v>
      </c>
      <c r="C94">
        <v>12364</v>
      </c>
      <c r="D94">
        <v>4</v>
      </c>
      <c r="E94">
        <v>8</v>
      </c>
      <c r="F94" t="s">
        <v>7</v>
      </c>
      <c r="G94">
        <v>3</v>
      </c>
    </row>
    <row r="95" spans="1:7" x14ac:dyDescent="0.25">
      <c r="A95">
        <v>94</v>
      </c>
      <c r="B95">
        <v>2</v>
      </c>
      <c r="C95">
        <v>22358</v>
      </c>
      <c r="D95">
        <v>6</v>
      </c>
      <c r="E95">
        <v>11</v>
      </c>
      <c r="F95" t="s">
        <v>10</v>
      </c>
      <c r="G95">
        <v>4</v>
      </c>
    </row>
    <row r="96" spans="1:7" x14ac:dyDescent="0.25">
      <c r="A96">
        <v>95</v>
      </c>
      <c r="B96">
        <v>1</v>
      </c>
      <c r="C96">
        <v>20589</v>
      </c>
      <c r="D96">
        <v>2</v>
      </c>
      <c r="E96">
        <v>6</v>
      </c>
      <c r="F96" t="s">
        <v>8</v>
      </c>
      <c r="G96">
        <v>3</v>
      </c>
    </row>
    <row r="97" spans="1:7" x14ac:dyDescent="0.25">
      <c r="A97">
        <v>96</v>
      </c>
      <c r="B97">
        <v>1</v>
      </c>
      <c r="C97">
        <v>4076</v>
      </c>
      <c r="D97">
        <v>2</v>
      </c>
      <c r="E97">
        <v>6</v>
      </c>
      <c r="F97" t="s">
        <v>8</v>
      </c>
      <c r="G97">
        <v>3</v>
      </c>
    </row>
    <row r="98" spans="1:7" x14ac:dyDescent="0.25">
      <c r="A98">
        <v>97</v>
      </c>
      <c r="B98">
        <v>1</v>
      </c>
      <c r="C98">
        <v>3858</v>
      </c>
      <c r="D98">
        <v>0</v>
      </c>
      <c r="E98">
        <v>3</v>
      </c>
      <c r="F98" t="s">
        <v>15</v>
      </c>
      <c r="G98">
        <v>3</v>
      </c>
    </row>
    <row r="99" spans="1:7" x14ac:dyDescent="0.25">
      <c r="A99">
        <v>98</v>
      </c>
      <c r="B99">
        <v>1</v>
      </c>
      <c r="C99">
        <v>27300</v>
      </c>
      <c r="D99">
        <v>5</v>
      </c>
      <c r="E99">
        <v>8</v>
      </c>
      <c r="F99" t="s">
        <v>10</v>
      </c>
      <c r="G99">
        <v>4</v>
      </c>
    </row>
    <row r="100" spans="1:7" x14ac:dyDescent="0.25">
      <c r="A100">
        <v>99</v>
      </c>
      <c r="B100">
        <v>1</v>
      </c>
      <c r="C100">
        <v>15940</v>
      </c>
      <c r="D100">
        <v>1</v>
      </c>
      <c r="E100">
        <v>4</v>
      </c>
      <c r="F100" t="s">
        <v>7</v>
      </c>
      <c r="G100">
        <v>5</v>
      </c>
    </row>
    <row r="101" spans="1:7" x14ac:dyDescent="0.25">
      <c r="A101">
        <v>100</v>
      </c>
      <c r="B101">
        <v>1</v>
      </c>
      <c r="C101">
        <v>2300</v>
      </c>
      <c r="D101">
        <v>4</v>
      </c>
      <c r="E101">
        <v>9</v>
      </c>
      <c r="F101" t="s">
        <v>7</v>
      </c>
      <c r="G101">
        <v>3</v>
      </c>
    </row>
    <row r="102" spans="1:7" x14ac:dyDescent="0.25">
      <c r="A102">
        <v>101</v>
      </c>
      <c r="B102">
        <v>1</v>
      </c>
      <c r="C102">
        <v>2300</v>
      </c>
      <c r="D102">
        <v>5</v>
      </c>
      <c r="E102">
        <v>9</v>
      </c>
      <c r="F102" t="s">
        <v>10</v>
      </c>
      <c r="G102">
        <v>4</v>
      </c>
    </row>
    <row r="103" spans="1:7" x14ac:dyDescent="0.25">
      <c r="A103">
        <v>102</v>
      </c>
      <c r="B103">
        <v>2</v>
      </c>
      <c r="C103">
        <v>4200</v>
      </c>
      <c r="D103">
        <v>2</v>
      </c>
      <c r="E103">
        <v>5</v>
      </c>
      <c r="F103" t="s">
        <v>10</v>
      </c>
      <c r="G103">
        <v>2</v>
      </c>
    </row>
    <row r="104" spans="1:7" x14ac:dyDescent="0.25">
      <c r="A104">
        <v>103</v>
      </c>
      <c r="B104">
        <v>2</v>
      </c>
      <c r="C104">
        <v>4200</v>
      </c>
      <c r="D104">
        <v>4</v>
      </c>
      <c r="E104">
        <v>9</v>
      </c>
      <c r="F104" t="s">
        <v>7</v>
      </c>
      <c r="G104">
        <v>3</v>
      </c>
    </row>
    <row r="105" spans="1:7" x14ac:dyDescent="0.25">
      <c r="A105">
        <v>104</v>
      </c>
      <c r="B105">
        <v>1</v>
      </c>
      <c r="C105">
        <v>2300</v>
      </c>
      <c r="D105">
        <v>4</v>
      </c>
      <c r="E105">
        <v>9</v>
      </c>
      <c r="F105" t="s">
        <v>8</v>
      </c>
      <c r="G105">
        <v>3</v>
      </c>
    </row>
    <row r="106" spans="1:7" x14ac:dyDescent="0.25">
      <c r="A106">
        <v>105</v>
      </c>
      <c r="B106">
        <v>1</v>
      </c>
      <c r="C106">
        <v>2300</v>
      </c>
      <c r="D106">
        <v>5</v>
      </c>
      <c r="E106">
        <v>8</v>
      </c>
      <c r="F106" t="s">
        <v>12</v>
      </c>
      <c r="G106">
        <v>4</v>
      </c>
    </row>
    <row r="107" spans="1:7" x14ac:dyDescent="0.25">
      <c r="A107">
        <v>106</v>
      </c>
      <c r="B107">
        <v>1</v>
      </c>
      <c r="C107">
        <v>2000</v>
      </c>
      <c r="D107">
        <v>3</v>
      </c>
      <c r="E107">
        <v>7</v>
      </c>
      <c r="F107" t="s">
        <v>10</v>
      </c>
      <c r="G107">
        <v>3</v>
      </c>
    </row>
    <row r="108" spans="1:7" x14ac:dyDescent="0.25">
      <c r="A108">
        <v>107</v>
      </c>
      <c r="B108">
        <v>1</v>
      </c>
      <c r="C108">
        <v>2300</v>
      </c>
      <c r="D108">
        <v>4</v>
      </c>
      <c r="E108">
        <v>7</v>
      </c>
      <c r="F108" t="s">
        <v>12</v>
      </c>
      <c r="G108">
        <v>3</v>
      </c>
    </row>
    <row r="109" spans="1:7" x14ac:dyDescent="0.25">
      <c r="A109">
        <v>108</v>
      </c>
      <c r="B109">
        <v>2</v>
      </c>
      <c r="C109">
        <v>10305</v>
      </c>
      <c r="D109">
        <v>1</v>
      </c>
      <c r="E109">
        <v>5</v>
      </c>
      <c r="F109" t="s">
        <v>10</v>
      </c>
      <c r="G109">
        <v>4</v>
      </c>
    </row>
    <row r="110" spans="1:7" x14ac:dyDescent="0.25">
      <c r="A110">
        <v>109</v>
      </c>
      <c r="B110">
        <v>2</v>
      </c>
      <c r="C110">
        <v>10305</v>
      </c>
      <c r="D110">
        <v>0</v>
      </c>
      <c r="E110">
        <v>3</v>
      </c>
      <c r="F110" t="s">
        <v>7</v>
      </c>
      <c r="G110">
        <v>3</v>
      </c>
    </row>
    <row r="111" spans="1:7" x14ac:dyDescent="0.25">
      <c r="A111">
        <v>110</v>
      </c>
      <c r="B111">
        <v>2</v>
      </c>
      <c r="C111">
        <v>10305</v>
      </c>
      <c r="D111">
        <v>3</v>
      </c>
      <c r="E111">
        <v>8</v>
      </c>
      <c r="F111" t="s">
        <v>10</v>
      </c>
      <c r="G111">
        <v>5</v>
      </c>
    </row>
    <row r="112" spans="1:7" x14ac:dyDescent="0.25">
      <c r="A112">
        <v>111</v>
      </c>
      <c r="B112">
        <v>2</v>
      </c>
      <c r="C112">
        <v>10305</v>
      </c>
      <c r="D112">
        <v>5</v>
      </c>
      <c r="E112">
        <v>10</v>
      </c>
      <c r="F112" t="s">
        <v>7</v>
      </c>
      <c r="G112">
        <v>6</v>
      </c>
    </row>
    <row r="113" spans="1:7" x14ac:dyDescent="0.25">
      <c r="A113">
        <v>112</v>
      </c>
      <c r="B113">
        <v>2</v>
      </c>
      <c r="C113">
        <v>10305</v>
      </c>
      <c r="D113">
        <v>1</v>
      </c>
      <c r="E113">
        <v>6</v>
      </c>
      <c r="F113" t="s">
        <v>12</v>
      </c>
      <c r="G113">
        <v>3</v>
      </c>
    </row>
    <row r="114" spans="1:7" x14ac:dyDescent="0.25">
      <c r="A114">
        <v>113</v>
      </c>
      <c r="B114">
        <v>2</v>
      </c>
      <c r="C114">
        <v>10305</v>
      </c>
      <c r="D114">
        <v>2</v>
      </c>
      <c r="E114">
        <v>5</v>
      </c>
      <c r="F114" t="s">
        <v>7</v>
      </c>
      <c r="G114">
        <v>4</v>
      </c>
    </row>
    <row r="115" spans="1:7" x14ac:dyDescent="0.25">
      <c r="A115">
        <v>114</v>
      </c>
      <c r="B115">
        <v>2</v>
      </c>
      <c r="C115">
        <v>10305</v>
      </c>
      <c r="D115">
        <v>4</v>
      </c>
      <c r="E115">
        <v>7</v>
      </c>
      <c r="F115" t="s">
        <v>8</v>
      </c>
      <c r="G115">
        <v>4</v>
      </c>
    </row>
    <row r="116" spans="1:7" x14ac:dyDescent="0.25">
      <c r="A116">
        <v>115</v>
      </c>
      <c r="B116">
        <v>2</v>
      </c>
      <c r="C116">
        <v>10305</v>
      </c>
      <c r="D116">
        <v>4</v>
      </c>
      <c r="E116">
        <v>8</v>
      </c>
      <c r="F116" t="s">
        <v>7</v>
      </c>
      <c r="G116">
        <v>3</v>
      </c>
    </row>
    <row r="117" spans="1:7" x14ac:dyDescent="0.25">
      <c r="A117">
        <v>116</v>
      </c>
      <c r="B117">
        <v>2</v>
      </c>
      <c r="C117">
        <v>10305</v>
      </c>
      <c r="D117">
        <v>5</v>
      </c>
      <c r="E117">
        <v>9</v>
      </c>
      <c r="F117" t="s">
        <v>11</v>
      </c>
      <c r="G117">
        <v>4</v>
      </c>
    </row>
    <row r="118" spans="1:7" x14ac:dyDescent="0.25">
      <c r="A118">
        <v>117</v>
      </c>
      <c r="B118">
        <v>2</v>
      </c>
      <c r="C118">
        <v>10305</v>
      </c>
      <c r="D118">
        <v>1</v>
      </c>
      <c r="E118">
        <v>6</v>
      </c>
      <c r="F118" t="s">
        <v>7</v>
      </c>
      <c r="G118">
        <v>3</v>
      </c>
    </row>
    <row r="119" spans="1:7" x14ac:dyDescent="0.25">
      <c r="A119">
        <v>118</v>
      </c>
      <c r="B119">
        <v>1</v>
      </c>
      <c r="C119">
        <v>10305</v>
      </c>
      <c r="D119">
        <v>6</v>
      </c>
      <c r="E119">
        <v>9</v>
      </c>
      <c r="F119" t="s">
        <v>10</v>
      </c>
      <c r="G119">
        <v>5</v>
      </c>
    </row>
    <row r="120" spans="1:7" x14ac:dyDescent="0.25">
      <c r="A120">
        <v>119</v>
      </c>
      <c r="B120">
        <v>2</v>
      </c>
      <c r="C120">
        <v>10305</v>
      </c>
      <c r="D120">
        <v>6</v>
      </c>
      <c r="E120">
        <v>10</v>
      </c>
      <c r="F120" t="s">
        <v>7</v>
      </c>
      <c r="G120">
        <v>4</v>
      </c>
    </row>
    <row r="121" spans="1:7" x14ac:dyDescent="0.25">
      <c r="A121">
        <v>120</v>
      </c>
      <c r="B121">
        <v>2</v>
      </c>
      <c r="C121">
        <v>10305</v>
      </c>
      <c r="D121">
        <v>-1</v>
      </c>
      <c r="E121">
        <v>4</v>
      </c>
      <c r="F121" t="s">
        <v>7</v>
      </c>
      <c r="G121">
        <v>4</v>
      </c>
    </row>
    <row r="122" spans="1:7" x14ac:dyDescent="0.25">
      <c r="A122">
        <v>121</v>
      </c>
      <c r="B122">
        <v>2</v>
      </c>
      <c r="C122">
        <v>10305</v>
      </c>
      <c r="D122">
        <v>1</v>
      </c>
      <c r="E122">
        <v>6</v>
      </c>
      <c r="F122" t="s">
        <v>7</v>
      </c>
      <c r="G122">
        <v>5</v>
      </c>
    </row>
    <row r="123" spans="1:7" x14ac:dyDescent="0.25">
      <c r="A123">
        <v>122</v>
      </c>
      <c r="B123">
        <v>2</v>
      </c>
      <c r="C123">
        <v>10305</v>
      </c>
      <c r="D123">
        <v>4</v>
      </c>
      <c r="E123">
        <v>7</v>
      </c>
      <c r="F123" t="s">
        <v>10</v>
      </c>
      <c r="G123">
        <v>4</v>
      </c>
    </row>
    <row r="124" spans="1:7" x14ac:dyDescent="0.25">
      <c r="A124">
        <v>123</v>
      </c>
      <c r="B124">
        <v>2</v>
      </c>
      <c r="C124">
        <v>10305</v>
      </c>
      <c r="D124">
        <v>-1</v>
      </c>
      <c r="E124">
        <v>4</v>
      </c>
      <c r="F124" t="s">
        <v>10</v>
      </c>
      <c r="G124">
        <v>4</v>
      </c>
    </row>
    <row r="125" spans="1:7" x14ac:dyDescent="0.25">
      <c r="A125">
        <v>124</v>
      </c>
      <c r="B125">
        <v>2</v>
      </c>
      <c r="C125">
        <v>10305</v>
      </c>
      <c r="D125">
        <v>-1</v>
      </c>
      <c r="E125">
        <v>4</v>
      </c>
      <c r="F125" t="s">
        <v>13</v>
      </c>
      <c r="G125">
        <v>4</v>
      </c>
    </row>
    <row r="126" spans="1:7" x14ac:dyDescent="0.25">
      <c r="A126">
        <v>125</v>
      </c>
      <c r="B126">
        <v>2</v>
      </c>
      <c r="C126">
        <v>10305</v>
      </c>
      <c r="D126">
        <v>1</v>
      </c>
      <c r="E126">
        <v>4</v>
      </c>
      <c r="F126" t="s">
        <v>7</v>
      </c>
      <c r="G126">
        <v>3</v>
      </c>
    </row>
    <row r="127" spans="1:7" x14ac:dyDescent="0.25">
      <c r="A127">
        <v>126</v>
      </c>
      <c r="B127">
        <v>2</v>
      </c>
      <c r="C127">
        <v>10305</v>
      </c>
      <c r="D127">
        <v>5</v>
      </c>
      <c r="E127">
        <v>8</v>
      </c>
      <c r="F127" t="s">
        <v>10</v>
      </c>
      <c r="G127">
        <v>4</v>
      </c>
    </row>
    <row r="128" spans="1:7" x14ac:dyDescent="0.25">
      <c r="A128">
        <v>127</v>
      </c>
      <c r="B128">
        <v>2</v>
      </c>
      <c r="C128">
        <v>10305</v>
      </c>
      <c r="D128">
        <v>4</v>
      </c>
      <c r="E128">
        <v>9</v>
      </c>
      <c r="F128" t="s">
        <v>7</v>
      </c>
      <c r="G128">
        <v>5</v>
      </c>
    </row>
    <row r="129" spans="1:7" x14ac:dyDescent="0.25">
      <c r="A129">
        <v>128</v>
      </c>
      <c r="B129">
        <v>2</v>
      </c>
      <c r="C129">
        <v>10305</v>
      </c>
      <c r="D129">
        <v>4</v>
      </c>
      <c r="E129">
        <v>8</v>
      </c>
      <c r="F129" t="s">
        <v>7</v>
      </c>
      <c r="G129">
        <v>3</v>
      </c>
    </row>
    <row r="130" spans="1:7" x14ac:dyDescent="0.25">
      <c r="A130">
        <v>129</v>
      </c>
      <c r="B130">
        <v>2</v>
      </c>
      <c r="C130">
        <v>10305</v>
      </c>
      <c r="D130">
        <v>-1</v>
      </c>
      <c r="E130">
        <v>2</v>
      </c>
      <c r="F130" t="s">
        <v>10</v>
      </c>
      <c r="G130">
        <v>4</v>
      </c>
    </row>
    <row r="131" spans="1:7" x14ac:dyDescent="0.25">
      <c r="A131">
        <v>130</v>
      </c>
      <c r="B131">
        <v>1</v>
      </c>
      <c r="C131">
        <v>20591</v>
      </c>
      <c r="D131">
        <v>-1</v>
      </c>
      <c r="E131">
        <v>3</v>
      </c>
      <c r="F131" t="s">
        <v>7</v>
      </c>
      <c r="G131">
        <v>4</v>
      </c>
    </row>
    <row r="132" spans="1:7" x14ac:dyDescent="0.25">
      <c r="A132">
        <v>131</v>
      </c>
      <c r="B132">
        <v>1</v>
      </c>
      <c r="C132">
        <v>20595</v>
      </c>
      <c r="D132">
        <v>6</v>
      </c>
      <c r="E132">
        <v>10</v>
      </c>
      <c r="F132" t="s">
        <v>7</v>
      </c>
      <c r="G132">
        <v>5</v>
      </c>
    </row>
    <row r="133" spans="1:7" x14ac:dyDescent="0.25">
      <c r="A133">
        <v>132</v>
      </c>
      <c r="B133">
        <v>1</v>
      </c>
      <c r="C133">
        <v>23668</v>
      </c>
      <c r="D133">
        <v>6</v>
      </c>
      <c r="E133">
        <v>10</v>
      </c>
      <c r="F133" t="s">
        <v>12</v>
      </c>
      <c r="G133">
        <v>3</v>
      </c>
    </row>
    <row r="134" spans="1:7" x14ac:dyDescent="0.25">
      <c r="A134">
        <v>133</v>
      </c>
      <c r="B134">
        <v>1</v>
      </c>
      <c r="C134">
        <v>24020</v>
      </c>
      <c r="D134">
        <v>4</v>
      </c>
      <c r="E134">
        <v>8</v>
      </c>
      <c r="F134" t="s">
        <v>10</v>
      </c>
      <c r="G134">
        <v>3</v>
      </c>
    </row>
    <row r="135" spans="1:7" x14ac:dyDescent="0.25">
      <c r="A135">
        <v>134</v>
      </c>
      <c r="B135">
        <v>1</v>
      </c>
      <c r="C135">
        <v>24020</v>
      </c>
      <c r="D135">
        <v>-1</v>
      </c>
      <c r="E135">
        <v>3</v>
      </c>
      <c r="F135" t="s">
        <v>12</v>
      </c>
      <c r="G135">
        <v>3</v>
      </c>
    </row>
    <row r="136" spans="1:7" x14ac:dyDescent="0.25">
      <c r="A136">
        <v>135</v>
      </c>
      <c r="B136">
        <v>1</v>
      </c>
      <c r="C136">
        <v>2300</v>
      </c>
      <c r="D136">
        <v>0</v>
      </c>
      <c r="E136">
        <v>5</v>
      </c>
      <c r="F136" t="s">
        <v>12</v>
      </c>
      <c r="G136">
        <v>3</v>
      </c>
    </row>
    <row r="137" spans="1:7" x14ac:dyDescent="0.25">
      <c r="A137">
        <v>136</v>
      </c>
      <c r="B137">
        <v>2</v>
      </c>
      <c r="C137">
        <v>6365</v>
      </c>
      <c r="D137">
        <v>-1</v>
      </c>
      <c r="E137">
        <v>4</v>
      </c>
      <c r="F137" t="s">
        <v>10</v>
      </c>
      <c r="G137">
        <v>3</v>
      </c>
    </row>
    <row r="138" spans="1:7" x14ac:dyDescent="0.25">
      <c r="A138">
        <v>137</v>
      </c>
      <c r="B138">
        <v>2</v>
      </c>
      <c r="C138">
        <v>7772</v>
      </c>
      <c r="D138">
        <v>2</v>
      </c>
      <c r="E138">
        <v>5</v>
      </c>
      <c r="F138" t="s">
        <v>10</v>
      </c>
      <c r="G138">
        <v>6</v>
      </c>
    </row>
    <row r="139" spans="1:7" x14ac:dyDescent="0.25">
      <c r="A139">
        <v>138</v>
      </c>
      <c r="B139">
        <v>2</v>
      </c>
      <c r="C139">
        <v>6551</v>
      </c>
      <c r="D139">
        <v>0</v>
      </c>
      <c r="E139">
        <v>5</v>
      </c>
      <c r="F139" t="s">
        <v>11</v>
      </c>
      <c r="G139">
        <v>4</v>
      </c>
    </row>
    <row r="140" spans="1:7" x14ac:dyDescent="0.25">
      <c r="A140">
        <v>139</v>
      </c>
      <c r="B140">
        <v>2</v>
      </c>
      <c r="C140">
        <v>6493</v>
      </c>
      <c r="D140">
        <v>6</v>
      </c>
      <c r="E140">
        <v>10</v>
      </c>
      <c r="F140" t="s">
        <v>10</v>
      </c>
      <c r="G140">
        <v>5</v>
      </c>
    </row>
    <row r="141" spans="1:7" x14ac:dyDescent="0.25">
      <c r="A141">
        <v>140</v>
      </c>
      <c r="B141">
        <v>2</v>
      </c>
      <c r="C141">
        <v>19200</v>
      </c>
      <c r="D141">
        <v>2</v>
      </c>
      <c r="E141">
        <v>7</v>
      </c>
      <c r="F141" t="s">
        <v>10</v>
      </c>
      <c r="G141">
        <v>4</v>
      </c>
    </row>
    <row r="142" spans="1:7" x14ac:dyDescent="0.25">
      <c r="A142">
        <v>141</v>
      </c>
      <c r="B142">
        <v>1</v>
      </c>
      <c r="C142">
        <v>4300</v>
      </c>
      <c r="D142">
        <v>-1</v>
      </c>
      <c r="E142">
        <v>2</v>
      </c>
      <c r="F142" t="s">
        <v>7</v>
      </c>
      <c r="G142">
        <v>3</v>
      </c>
    </row>
    <row r="143" spans="1:7" x14ac:dyDescent="0.25">
      <c r="A143">
        <v>142</v>
      </c>
      <c r="B143">
        <v>2</v>
      </c>
      <c r="C143">
        <v>4200</v>
      </c>
      <c r="D143">
        <v>6</v>
      </c>
      <c r="E143">
        <v>9</v>
      </c>
      <c r="F143" t="s">
        <v>7</v>
      </c>
      <c r="G143">
        <v>4</v>
      </c>
    </row>
    <row r="144" spans="1:7" x14ac:dyDescent="0.25">
      <c r="A144">
        <v>143</v>
      </c>
      <c r="B144">
        <v>2</v>
      </c>
      <c r="C144">
        <v>4202</v>
      </c>
      <c r="D144">
        <v>4</v>
      </c>
      <c r="E144">
        <v>8</v>
      </c>
      <c r="F144" t="s">
        <v>7</v>
      </c>
      <c r="G144">
        <v>5</v>
      </c>
    </row>
    <row r="145" spans="1:7" x14ac:dyDescent="0.25">
      <c r="A145">
        <v>144</v>
      </c>
      <c r="B145">
        <v>1</v>
      </c>
      <c r="C145">
        <v>26360</v>
      </c>
      <c r="D145">
        <v>-1</v>
      </c>
      <c r="E145">
        <v>2</v>
      </c>
      <c r="F145" t="s">
        <v>10</v>
      </c>
      <c r="G145">
        <v>3</v>
      </c>
    </row>
    <row r="146" spans="1:7" x14ac:dyDescent="0.25">
      <c r="A146">
        <v>145</v>
      </c>
      <c r="B146">
        <v>1</v>
      </c>
      <c r="C146">
        <v>20300</v>
      </c>
      <c r="D146">
        <v>2</v>
      </c>
      <c r="E146">
        <v>7</v>
      </c>
      <c r="F146" t="s">
        <v>10</v>
      </c>
      <c r="G146">
        <v>2</v>
      </c>
    </row>
    <row r="147" spans="1:7" x14ac:dyDescent="0.25">
      <c r="A147">
        <v>146</v>
      </c>
      <c r="B147">
        <v>1</v>
      </c>
      <c r="C147">
        <v>22200</v>
      </c>
      <c r="D147">
        <v>3</v>
      </c>
      <c r="E147">
        <v>8</v>
      </c>
      <c r="F147" t="s">
        <v>7</v>
      </c>
      <c r="G147">
        <v>3</v>
      </c>
    </row>
    <row r="148" spans="1:7" x14ac:dyDescent="0.25">
      <c r="A148">
        <v>147</v>
      </c>
      <c r="B148">
        <v>2</v>
      </c>
      <c r="C148">
        <v>14600</v>
      </c>
      <c r="D148">
        <v>5</v>
      </c>
      <c r="E148">
        <v>9</v>
      </c>
      <c r="F148" t="s">
        <v>7</v>
      </c>
      <c r="G148">
        <v>2</v>
      </c>
    </row>
    <row r="149" spans="1:7" x14ac:dyDescent="0.25">
      <c r="A149">
        <v>148</v>
      </c>
      <c r="B149">
        <v>1</v>
      </c>
      <c r="C149">
        <v>28424</v>
      </c>
      <c r="D149">
        <v>3</v>
      </c>
      <c r="E149">
        <v>6</v>
      </c>
      <c r="F149" t="s">
        <v>7</v>
      </c>
      <c r="G149">
        <v>5</v>
      </c>
    </row>
    <row r="150" spans="1:7" x14ac:dyDescent="0.25">
      <c r="A150">
        <v>149</v>
      </c>
      <c r="B150">
        <v>1</v>
      </c>
      <c r="C150">
        <v>12649</v>
      </c>
      <c r="D150">
        <v>6</v>
      </c>
      <c r="E150">
        <v>10</v>
      </c>
      <c r="F150" t="s">
        <v>10</v>
      </c>
      <c r="G150">
        <v>2</v>
      </c>
    </row>
    <row r="151" spans="1:7" x14ac:dyDescent="0.25">
      <c r="A151">
        <v>150</v>
      </c>
      <c r="B151">
        <v>2</v>
      </c>
      <c r="C151">
        <v>24610</v>
      </c>
      <c r="D151">
        <v>1</v>
      </c>
      <c r="E151">
        <v>5</v>
      </c>
      <c r="F151" t="s">
        <v>12</v>
      </c>
      <c r="G151">
        <v>4</v>
      </c>
    </row>
    <row r="152" spans="1:7" x14ac:dyDescent="0.25">
      <c r="A152">
        <v>151</v>
      </c>
      <c r="B152">
        <v>2</v>
      </c>
      <c r="C152">
        <v>24610</v>
      </c>
      <c r="D152">
        <v>4</v>
      </c>
      <c r="E152">
        <v>7</v>
      </c>
      <c r="F152" t="s">
        <v>7</v>
      </c>
      <c r="G152">
        <v>5</v>
      </c>
    </row>
    <row r="153" spans="1:7" x14ac:dyDescent="0.25">
      <c r="A153">
        <v>152</v>
      </c>
      <c r="B153">
        <v>2</v>
      </c>
      <c r="C153">
        <v>4200</v>
      </c>
      <c r="D153">
        <v>1</v>
      </c>
      <c r="E153">
        <v>5</v>
      </c>
      <c r="F153" t="s">
        <v>8</v>
      </c>
      <c r="G153">
        <v>4</v>
      </c>
    </row>
    <row r="154" spans="1:7" x14ac:dyDescent="0.25">
      <c r="A154">
        <v>153</v>
      </c>
      <c r="B154">
        <v>2</v>
      </c>
      <c r="C154">
        <v>29270</v>
      </c>
      <c r="D154">
        <v>6</v>
      </c>
      <c r="E154">
        <v>10</v>
      </c>
      <c r="F154" t="s">
        <v>7</v>
      </c>
      <c r="G154">
        <v>4</v>
      </c>
    </row>
    <row r="155" spans="1:7" x14ac:dyDescent="0.25">
      <c r="A155">
        <v>154</v>
      </c>
      <c r="B155">
        <v>2</v>
      </c>
      <c r="C155">
        <v>29230</v>
      </c>
      <c r="D155">
        <v>2</v>
      </c>
      <c r="E155">
        <v>7</v>
      </c>
      <c r="F155" t="s">
        <v>7</v>
      </c>
      <c r="G155">
        <v>2</v>
      </c>
    </row>
    <row r="156" spans="1:7" x14ac:dyDescent="0.25">
      <c r="A156">
        <v>155</v>
      </c>
      <c r="B156">
        <v>1</v>
      </c>
      <c r="C156">
        <v>27300</v>
      </c>
      <c r="D156">
        <v>5</v>
      </c>
      <c r="E156">
        <v>8</v>
      </c>
      <c r="F156" t="s">
        <v>11</v>
      </c>
      <c r="G156">
        <v>4</v>
      </c>
    </row>
    <row r="157" spans="1:7" x14ac:dyDescent="0.25">
      <c r="A157">
        <v>156</v>
      </c>
      <c r="B157">
        <v>2</v>
      </c>
      <c r="C157">
        <v>19200</v>
      </c>
      <c r="D157">
        <v>0</v>
      </c>
      <c r="E157">
        <v>4</v>
      </c>
      <c r="F157" t="s">
        <v>10</v>
      </c>
      <c r="G157">
        <v>3</v>
      </c>
    </row>
    <row r="158" spans="1:7" x14ac:dyDescent="0.25">
      <c r="A158">
        <v>157</v>
      </c>
      <c r="B158">
        <v>2</v>
      </c>
      <c r="C158">
        <v>19200</v>
      </c>
      <c r="D158">
        <v>1</v>
      </c>
      <c r="E158">
        <v>4</v>
      </c>
      <c r="F158" t="s">
        <v>7</v>
      </c>
      <c r="G158">
        <v>4</v>
      </c>
    </row>
    <row r="159" spans="1:7" x14ac:dyDescent="0.25">
      <c r="A159">
        <v>158</v>
      </c>
      <c r="B159">
        <v>2</v>
      </c>
      <c r="C159">
        <v>12868</v>
      </c>
      <c r="D159">
        <v>3</v>
      </c>
      <c r="E159">
        <v>8</v>
      </c>
      <c r="F159" t="s">
        <v>7</v>
      </c>
      <c r="G159">
        <v>3</v>
      </c>
    </row>
    <row r="160" spans="1:7" x14ac:dyDescent="0.25">
      <c r="A160">
        <v>159</v>
      </c>
      <c r="B160">
        <v>2</v>
      </c>
      <c r="C160">
        <v>12868</v>
      </c>
      <c r="D160">
        <v>1</v>
      </c>
      <c r="E160">
        <v>4</v>
      </c>
      <c r="F160" t="s">
        <v>7</v>
      </c>
      <c r="G160">
        <v>4</v>
      </c>
    </row>
    <row r="161" spans="1:7" x14ac:dyDescent="0.25">
      <c r="A161">
        <v>160</v>
      </c>
      <c r="B161">
        <v>2</v>
      </c>
      <c r="C161">
        <v>12868</v>
      </c>
      <c r="D161">
        <v>6</v>
      </c>
      <c r="E161">
        <v>11</v>
      </c>
      <c r="F161" t="s">
        <v>7</v>
      </c>
      <c r="G161">
        <v>4</v>
      </c>
    </row>
    <row r="162" spans="1:7" x14ac:dyDescent="0.25">
      <c r="A162">
        <v>161</v>
      </c>
      <c r="B162">
        <v>2</v>
      </c>
      <c r="C162">
        <v>12868</v>
      </c>
      <c r="D162">
        <v>5</v>
      </c>
      <c r="E162">
        <v>9</v>
      </c>
      <c r="F162" t="s">
        <v>7</v>
      </c>
      <c r="G162">
        <v>3</v>
      </c>
    </row>
    <row r="163" spans="1:7" x14ac:dyDescent="0.25">
      <c r="A163">
        <v>162</v>
      </c>
      <c r="B163">
        <v>2</v>
      </c>
      <c r="C163">
        <v>12868</v>
      </c>
      <c r="D163">
        <v>0</v>
      </c>
      <c r="E163">
        <v>3</v>
      </c>
      <c r="F163" t="s">
        <v>7</v>
      </c>
      <c r="G163">
        <v>3</v>
      </c>
    </row>
    <row r="164" spans="1:7" x14ac:dyDescent="0.25">
      <c r="A164">
        <v>163</v>
      </c>
      <c r="B164">
        <v>1</v>
      </c>
      <c r="C164">
        <v>19020</v>
      </c>
      <c r="D164">
        <v>5</v>
      </c>
      <c r="E164">
        <v>10</v>
      </c>
      <c r="F164" t="s">
        <v>11</v>
      </c>
      <c r="G164">
        <v>2</v>
      </c>
    </row>
    <row r="165" spans="1:7" x14ac:dyDescent="0.25">
      <c r="A165">
        <v>164</v>
      </c>
      <c r="B165">
        <v>1</v>
      </c>
      <c r="C165">
        <v>20583</v>
      </c>
      <c r="D165">
        <v>6</v>
      </c>
      <c r="E165">
        <v>9</v>
      </c>
      <c r="F165" t="s">
        <v>12</v>
      </c>
      <c r="G165">
        <v>3</v>
      </c>
    </row>
    <row r="166" spans="1:7" x14ac:dyDescent="0.25">
      <c r="A166">
        <v>165</v>
      </c>
      <c r="B166">
        <v>1</v>
      </c>
      <c r="C166">
        <v>20583</v>
      </c>
      <c r="D166">
        <v>-1</v>
      </c>
      <c r="E166">
        <v>3</v>
      </c>
      <c r="F166" t="s">
        <v>14</v>
      </c>
      <c r="G166">
        <v>3</v>
      </c>
    </row>
    <row r="167" spans="1:7" x14ac:dyDescent="0.25">
      <c r="A167">
        <v>166</v>
      </c>
      <c r="B167">
        <v>1</v>
      </c>
      <c r="C167">
        <v>20583</v>
      </c>
      <c r="D167">
        <v>4</v>
      </c>
      <c r="E167">
        <v>7</v>
      </c>
      <c r="F167" t="s">
        <v>7</v>
      </c>
      <c r="G167">
        <v>3</v>
      </c>
    </row>
    <row r="168" spans="1:7" x14ac:dyDescent="0.25">
      <c r="A168">
        <v>167</v>
      </c>
      <c r="B168">
        <v>1</v>
      </c>
      <c r="C168">
        <v>20583</v>
      </c>
      <c r="D168">
        <v>3</v>
      </c>
      <c r="E168">
        <v>8</v>
      </c>
      <c r="F168" t="s">
        <v>7</v>
      </c>
      <c r="G168">
        <v>4</v>
      </c>
    </row>
    <row r="169" spans="1:7" x14ac:dyDescent="0.25">
      <c r="A169">
        <v>168</v>
      </c>
      <c r="B169">
        <v>1</v>
      </c>
      <c r="C169">
        <v>20584</v>
      </c>
      <c r="D169">
        <v>1</v>
      </c>
      <c r="E169">
        <v>5</v>
      </c>
      <c r="F169" t="s">
        <v>10</v>
      </c>
      <c r="G169">
        <v>5</v>
      </c>
    </row>
    <row r="170" spans="1:7" x14ac:dyDescent="0.25">
      <c r="A170">
        <v>169</v>
      </c>
      <c r="B170">
        <v>1</v>
      </c>
      <c r="C170">
        <v>21473</v>
      </c>
      <c r="D170">
        <v>2</v>
      </c>
      <c r="E170">
        <v>5</v>
      </c>
      <c r="F170" t="s">
        <v>10</v>
      </c>
      <c r="G170">
        <v>3</v>
      </c>
    </row>
    <row r="171" spans="1:7" x14ac:dyDescent="0.25">
      <c r="A171">
        <v>170</v>
      </c>
      <c r="B171">
        <v>1</v>
      </c>
      <c r="C171">
        <v>21473</v>
      </c>
      <c r="D171">
        <v>3</v>
      </c>
      <c r="E171">
        <v>7</v>
      </c>
      <c r="F171" t="s">
        <v>7</v>
      </c>
      <c r="G171">
        <v>4</v>
      </c>
    </row>
    <row r="172" spans="1:7" x14ac:dyDescent="0.25">
      <c r="A172">
        <v>171</v>
      </c>
      <c r="B172">
        <v>2</v>
      </c>
      <c r="C172">
        <v>32111</v>
      </c>
      <c r="D172">
        <v>3</v>
      </c>
      <c r="E172">
        <v>8</v>
      </c>
      <c r="F172" t="s">
        <v>8</v>
      </c>
      <c r="G172">
        <v>3</v>
      </c>
    </row>
    <row r="173" spans="1:7" x14ac:dyDescent="0.25">
      <c r="A173">
        <v>172</v>
      </c>
      <c r="B173">
        <v>1</v>
      </c>
      <c r="C173">
        <v>18890</v>
      </c>
      <c r="D173">
        <v>-1</v>
      </c>
      <c r="E173">
        <v>4</v>
      </c>
      <c r="F173" t="s">
        <v>12</v>
      </c>
      <c r="G173">
        <v>4</v>
      </c>
    </row>
    <row r="174" spans="1:7" x14ac:dyDescent="0.25">
      <c r="A174">
        <v>173</v>
      </c>
      <c r="B174">
        <v>1</v>
      </c>
      <c r="C174">
        <v>18890</v>
      </c>
      <c r="D174">
        <v>4</v>
      </c>
      <c r="E174">
        <v>8</v>
      </c>
      <c r="F174" t="s">
        <v>10</v>
      </c>
      <c r="G174">
        <v>4</v>
      </c>
    </row>
    <row r="175" spans="1:7" x14ac:dyDescent="0.25">
      <c r="A175">
        <v>174</v>
      </c>
      <c r="B175">
        <v>1</v>
      </c>
      <c r="C175">
        <v>18890</v>
      </c>
      <c r="D175">
        <v>0</v>
      </c>
      <c r="E175">
        <v>4</v>
      </c>
      <c r="F175" t="s">
        <v>14</v>
      </c>
      <c r="G175">
        <v>3</v>
      </c>
    </row>
    <row r="176" spans="1:7" x14ac:dyDescent="0.25">
      <c r="A176">
        <v>175</v>
      </c>
      <c r="B176">
        <v>1</v>
      </c>
      <c r="C176">
        <v>18900</v>
      </c>
      <c r="D176">
        <v>2</v>
      </c>
      <c r="E176">
        <v>6</v>
      </c>
      <c r="F176" t="s">
        <v>7</v>
      </c>
      <c r="G176">
        <v>4</v>
      </c>
    </row>
    <row r="177" spans="1:7" x14ac:dyDescent="0.25">
      <c r="A177">
        <v>176</v>
      </c>
      <c r="B177">
        <v>1</v>
      </c>
      <c r="C177">
        <v>18890</v>
      </c>
      <c r="D177">
        <v>0</v>
      </c>
      <c r="E177">
        <v>4</v>
      </c>
      <c r="F177" t="s">
        <v>8</v>
      </c>
      <c r="G177">
        <v>3</v>
      </c>
    </row>
    <row r="178" spans="1:7" x14ac:dyDescent="0.25">
      <c r="A178">
        <v>177</v>
      </c>
      <c r="B178">
        <v>1</v>
      </c>
      <c r="C178">
        <v>18890</v>
      </c>
      <c r="D178">
        <v>-1</v>
      </c>
      <c r="E178">
        <v>3</v>
      </c>
      <c r="F178" t="s">
        <v>7</v>
      </c>
      <c r="G178">
        <v>3</v>
      </c>
    </row>
    <row r="179" spans="1:7" x14ac:dyDescent="0.25">
      <c r="A179">
        <v>178</v>
      </c>
      <c r="B179">
        <v>1</v>
      </c>
      <c r="C179">
        <v>18890</v>
      </c>
      <c r="D179">
        <v>5</v>
      </c>
      <c r="E179">
        <v>10</v>
      </c>
      <c r="F179" t="s">
        <v>7</v>
      </c>
      <c r="G179">
        <v>4</v>
      </c>
    </row>
    <row r="180" spans="1:7" x14ac:dyDescent="0.25">
      <c r="A180">
        <v>179</v>
      </c>
      <c r="B180">
        <v>1</v>
      </c>
      <c r="C180">
        <v>24696</v>
      </c>
      <c r="D180">
        <v>4</v>
      </c>
      <c r="E180">
        <v>8</v>
      </c>
      <c r="F180" t="s">
        <v>7</v>
      </c>
      <c r="G180">
        <v>4</v>
      </c>
    </row>
    <row r="181" spans="1:7" x14ac:dyDescent="0.25">
      <c r="A181">
        <v>180</v>
      </c>
      <c r="B181">
        <v>2</v>
      </c>
      <c r="C181">
        <v>9200</v>
      </c>
      <c r="D181">
        <v>3</v>
      </c>
      <c r="E181">
        <v>7</v>
      </c>
      <c r="F181" t="s">
        <v>7</v>
      </c>
      <c r="G181">
        <v>3</v>
      </c>
    </row>
    <row r="182" spans="1:7" x14ac:dyDescent="0.25">
      <c r="A182">
        <v>181</v>
      </c>
      <c r="B182">
        <v>2</v>
      </c>
      <c r="C182">
        <v>29200</v>
      </c>
      <c r="D182">
        <v>4</v>
      </c>
      <c r="E182">
        <v>7</v>
      </c>
      <c r="F182" t="s">
        <v>10</v>
      </c>
      <c r="G182">
        <v>4</v>
      </c>
    </row>
    <row r="183" spans="1:7" x14ac:dyDescent="0.25">
      <c r="A183">
        <v>182</v>
      </c>
      <c r="B183">
        <v>1</v>
      </c>
      <c r="C183">
        <v>17300</v>
      </c>
      <c r="D183">
        <v>6</v>
      </c>
      <c r="E183">
        <v>9</v>
      </c>
      <c r="F183" t="s">
        <v>10</v>
      </c>
      <c r="G183">
        <v>5</v>
      </c>
    </row>
    <row r="184" spans="1:7" x14ac:dyDescent="0.25">
      <c r="A184">
        <v>183</v>
      </c>
      <c r="B184">
        <v>1</v>
      </c>
      <c r="C184">
        <v>19500</v>
      </c>
      <c r="D184">
        <v>1</v>
      </c>
      <c r="E184">
        <v>4</v>
      </c>
      <c r="F184" t="s">
        <v>7</v>
      </c>
      <c r="G184">
        <v>3</v>
      </c>
    </row>
    <row r="185" spans="1:7" x14ac:dyDescent="0.25">
      <c r="A185">
        <v>184</v>
      </c>
      <c r="B185">
        <v>1</v>
      </c>
      <c r="C185">
        <v>24500</v>
      </c>
      <c r="D185">
        <v>1</v>
      </c>
      <c r="E185">
        <v>6</v>
      </c>
      <c r="F185" t="s">
        <v>10</v>
      </c>
      <c r="G185">
        <v>4</v>
      </c>
    </row>
    <row r="186" spans="1:7" x14ac:dyDescent="0.25">
      <c r="A186">
        <v>185</v>
      </c>
      <c r="B186">
        <v>2</v>
      </c>
      <c r="C186">
        <v>24200</v>
      </c>
      <c r="D186">
        <v>4</v>
      </c>
      <c r="E186">
        <v>8</v>
      </c>
      <c r="F186" t="s">
        <v>13</v>
      </c>
      <c r="G186">
        <v>4</v>
      </c>
    </row>
    <row r="187" spans="1:7" x14ac:dyDescent="0.25">
      <c r="A187">
        <v>186</v>
      </c>
      <c r="B187">
        <v>1</v>
      </c>
      <c r="C187">
        <v>6450</v>
      </c>
      <c r="D187">
        <v>5</v>
      </c>
      <c r="E187">
        <v>8</v>
      </c>
      <c r="F187" t="s">
        <v>12</v>
      </c>
      <c r="G187">
        <v>3</v>
      </c>
    </row>
    <row r="188" spans="1:7" x14ac:dyDescent="0.25">
      <c r="A188">
        <v>187</v>
      </c>
      <c r="B188">
        <v>2</v>
      </c>
      <c r="C188">
        <v>24200</v>
      </c>
      <c r="D188">
        <v>6</v>
      </c>
      <c r="E188">
        <v>9</v>
      </c>
      <c r="F188" t="s">
        <v>8</v>
      </c>
      <c r="G188">
        <v>3</v>
      </c>
    </row>
    <row r="189" spans="1:7" x14ac:dyDescent="0.25">
      <c r="A189">
        <v>188</v>
      </c>
      <c r="B189">
        <v>2</v>
      </c>
      <c r="C189">
        <v>4200</v>
      </c>
      <c r="D189">
        <v>4</v>
      </c>
      <c r="E189">
        <v>9</v>
      </c>
      <c r="F189" t="s">
        <v>10</v>
      </c>
      <c r="G189">
        <v>4</v>
      </c>
    </row>
    <row r="190" spans="1:7" x14ac:dyDescent="0.25">
      <c r="A190">
        <v>189</v>
      </c>
      <c r="B190">
        <v>2</v>
      </c>
      <c r="C190">
        <v>4200</v>
      </c>
      <c r="D190">
        <v>3</v>
      </c>
      <c r="E190">
        <v>8</v>
      </c>
      <c r="F190" t="s">
        <v>11</v>
      </c>
      <c r="G190">
        <v>6</v>
      </c>
    </row>
    <row r="191" spans="1:7" x14ac:dyDescent="0.25">
      <c r="A191">
        <v>190</v>
      </c>
      <c r="B191">
        <v>1</v>
      </c>
      <c r="C191">
        <v>2300</v>
      </c>
      <c r="D191">
        <v>3</v>
      </c>
      <c r="E191">
        <v>8</v>
      </c>
      <c r="F191" t="s">
        <v>12</v>
      </c>
      <c r="G191">
        <v>4</v>
      </c>
    </row>
    <row r="192" spans="1:7" x14ac:dyDescent="0.25">
      <c r="A192">
        <v>191</v>
      </c>
      <c r="B192">
        <v>2</v>
      </c>
      <c r="C192">
        <v>20927</v>
      </c>
      <c r="D192">
        <v>1</v>
      </c>
      <c r="E192">
        <v>5</v>
      </c>
      <c r="F192" t="s">
        <v>7</v>
      </c>
      <c r="G192">
        <v>4</v>
      </c>
    </row>
    <row r="193" spans="1:7" x14ac:dyDescent="0.25">
      <c r="A193">
        <v>192</v>
      </c>
      <c r="B193">
        <v>2</v>
      </c>
      <c r="C193">
        <v>24200</v>
      </c>
      <c r="D193">
        <v>5</v>
      </c>
      <c r="E193">
        <v>9</v>
      </c>
      <c r="F193" t="s">
        <v>7</v>
      </c>
      <c r="G193">
        <v>4</v>
      </c>
    </row>
    <row r="194" spans="1:7" x14ac:dyDescent="0.25">
      <c r="A194">
        <v>193</v>
      </c>
      <c r="B194">
        <v>1</v>
      </c>
      <c r="C194">
        <v>2300</v>
      </c>
      <c r="D194">
        <v>5</v>
      </c>
      <c r="E194">
        <v>9</v>
      </c>
      <c r="F194" t="s">
        <v>7</v>
      </c>
      <c r="G194">
        <v>3</v>
      </c>
    </row>
    <row r="195" spans="1:7" x14ac:dyDescent="0.25">
      <c r="A195">
        <v>194</v>
      </c>
      <c r="B195">
        <v>1</v>
      </c>
      <c r="C195">
        <v>24900</v>
      </c>
      <c r="D195">
        <v>3</v>
      </c>
      <c r="E195">
        <v>7</v>
      </c>
      <c r="F195" t="s">
        <v>7</v>
      </c>
      <c r="G195">
        <v>3</v>
      </c>
    </row>
    <row r="196" spans="1:7" x14ac:dyDescent="0.25">
      <c r="A196">
        <v>195</v>
      </c>
      <c r="B196">
        <v>1</v>
      </c>
      <c r="C196">
        <v>24900</v>
      </c>
      <c r="D196">
        <v>-1</v>
      </c>
      <c r="E196">
        <v>2</v>
      </c>
      <c r="F196" t="s">
        <v>7</v>
      </c>
      <c r="G196">
        <v>6</v>
      </c>
    </row>
    <row r="197" spans="1:7" x14ac:dyDescent="0.25">
      <c r="A197">
        <v>196</v>
      </c>
      <c r="B197">
        <v>1</v>
      </c>
      <c r="C197">
        <v>24900</v>
      </c>
      <c r="D197">
        <v>2</v>
      </c>
      <c r="E197">
        <v>6</v>
      </c>
      <c r="F197" t="s">
        <v>7</v>
      </c>
      <c r="G197">
        <v>4</v>
      </c>
    </row>
    <row r="198" spans="1:7" x14ac:dyDescent="0.25">
      <c r="A198">
        <v>197</v>
      </c>
      <c r="B198">
        <v>1</v>
      </c>
      <c r="C198">
        <v>24900</v>
      </c>
      <c r="D198">
        <v>3</v>
      </c>
      <c r="E198">
        <v>8</v>
      </c>
      <c r="F198" t="s">
        <v>12</v>
      </c>
      <c r="G198">
        <v>3</v>
      </c>
    </row>
    <row r="199" spans="1:7" x14ac:dyDescent="0.25">
      <c r="A199">
        <v>198</v>
      </c>
      <c r="B199">
        <v>1</v>
      </c>
      <c r="C199">
        <v>24900</v>
      </c>
      <c r="D199">
        <v>3</v>
      </c>
      <c r="E199">
        <v>8</v>
      </c>
      <c r="F199" t="s">
        <v>7</v>
      </c>
      <c r="G199">
        <v>4</v>
      </c>
    </row>
    <row r="200" spans="1:7" x14ac:dyDescent="0.25">
      <c r="A200">
        <v>199</v>
      </c>
      <c r="B200">
        <v>1</v>
      </c>
      <c r="C200">
        <v>24900</v>
      </c>
      <c r="D200">
        <v>3</v>
      </c>
      <c r="E200">
        <v>7</v>
      </c>
      <c r="F200" t="s">
        <v>7</v>
      </c>
      <c r="G200">
        <v>4</v>
      </c>
    </row>
    <row r="201" spans="1:7" x14ac:dyDescent="0.25">
      <c r="A201">
        <v>200</v>
      </c>
      <c r="B201">
        <v>1</v>
      </c>
      <c r="C201">
        <v>24900</v>
      </c>
      <c r="D201">
        <v>2</v>
      </c>
      <c r="E201">
        <v>5</v>
      </c>
      <c r="F201" t="s">
        <v>10</v>
      </c>
      <c r="G201">
        <v>3</v>
      </c>
    </row>
    <row r="202" spans="1:7" x14ac:dyDescent="0.25">
      <c r="A202">
        <v>201</v>
      </c>
      <c r="B202">
        <v>1</v>
      </c>
      <c r="C202">
        <v>24900</v>
      </c>
      <c r="D202">
        <v>2</v>
      </c>
      <c r="E202">
        <v>6</v>
      </c>
      <c r="F202" t="s">
        <v>7</v>
      </c>
      <c r="G202">
        <v>6</v>
      </c>
    </row>
    <row r="203" spans="1:7" x14ac:dyDescent="0.25">
      <c r="A203">
        <v>202</v>
      </c>
      <c r="B203">
        <v>1</v>
      </c>
      <c r="C203">
        <v>24900</v>
      </c>
      <c r="D203">
        <v>2</v>
      </c>
      <c r="E203">
        <v>7</v>
      </c>
      <c r="F203" t="s">
        <v>10</v>
      </c>
      <c r="G203">
        <v>3</v>
      </c>
    </row>
    <row r="204" spans="1:7" x14ac:dyDescent="0.25">
      <c r="A204">
        <v>203</v>
      </c>
      <c r="B204">
        <v>1</v>
      </c>
      <c r="C204">
        <v>2300</v>
      </c>
      <c r="D204">
        <v>2</v>
      </c>
      <c r="E204">
        <v>5</v>
      </c>
      <c r="F204" t="s">
        <v>7</v>
      </c>
      <c r="G204">
        <v>4</v>
      </c>
    </row>
    <row r="205" spans="1:7" x14ac:dyDescent="0.25">
      <c r="A205">
        <v>204</v>
      </c>
      <c r="B205">
        <v>1</v>
      </c>
      <c r="C205">
        <v>2300</v>
      </c>
      <c r="D205">
        <v>4</v>
      </c>
      <c r="E205">
        <v>7</v>
      </c>
      <c r="F205" t="s">
        <v>7</v>
      </c>
      <c r="G205">
        <v>4</v>
      </c>
    </row>
    <row r="206" spans="1:7" x14ac:dyDescent="0.25">
      <c r="A206">
        <v>205</v>
      </c>
      <c r="B206">
        <v>1</v>
      </c>
      <c r="C206">
        <v>6300</v>
      </c>
      <c r="D206">
        <v>0</v>
      </c>
      <c r="E206">
        <v>3</v>
      </c>
      <c r="F206" t="s">
        <v>10</v>
      </c>
      <c r="G206">
        <v>5</v>
      </c>
    </row>
    <row r="207" spans="1:7" x14ac:dyDescent="0.25">
      <c r="A207">
        <v>206</v>
      </c>
      <c r="B207">
        <v>2</v>
      </c>
      <c r="C207">
        <v>19200</v>
      </c>
      <c r="D207">
        <v>6</v>
      </c>
      <c r="E207">
        <v>10</v>
      </c>
      <c r="F207" t="s">
        <v>7</v>
      </c>
      <c r="G207">
        <v>3</v>
      </c>
    </row>
    <row r="208" spans="1:7" x14ac:dyDescent="0.25">
      <c r="A208">
        <v>207</v>
      </c>
      <c r="B208">
        <v>2</v>
      </c>
      <c r="C208">
        <v>4200</v>
      </c>
      <c r="D208">
        <v>6</v>
      </c>
      <c r="E208">
        <v>10</v>
      </c>
      <c r="F208" t="s">
        <v>7</v>
      </c>
      <c r="G208">
        <v>3</v>
      </c>
    </row>
    <row r="209" spans="1:7" x14ac:dyDescent="0.25">
      <c r="A209">
        <v>208</v>
      </c>
      <c r="B209">
        <v>1</v>
      </c>
      <c r="C209">
        <v>2000</v>
      </c>
      <c r="D209">
        <v>1</v>
      </c>
      <c r="E209">
        <v>5</v>
      </c>
      <c r="F209" t="s">
        <v>7</v>
      </c>
      <c r="G209">
        <v>3</v>
      </c>
    </row>
    <row r="210" spans="1:7" x14ac:dyDescent="0.25">
      <c r="A210">
        <v>209</v>
      </c>
      <c r="B210">
        <v>2</v>
      </c>
      <c r="C210">
        <v>11627</v>
      </c>
      <c r="D210">
        <v>4</v>
      </c>
      <c r="E210">
        <v>9</v>
      </c>
      <c r="F210" t="s">
        <v>7</v>
      </c>
      <c r="G210">
        <v>3</v>
      </c>
    </row>
    <row r="211" spans="1:7" x14ac:dyDescent="0.25">
      <c r="A211">
        <v>210</v>
      </c>
      <c r="B211">
        <v>2</v>
      </c>
      <c r="C211">
        <v>19200</v>
      </c>
      <c r="D211">
        <v>-1</v>
      </c>
      <c r="E211">
        <v>2</v>
      </c>
      <c r="F211" t="s">
        <v>7</v>
      </c>
      <c r="G211">
        <v>4</v>
      </c>
    </row>
    <row r="212" spans="1:7" x14ac:dyDescent="0.25">
      <c r="A212">
        <v>211</v>
      </c>
      <c r="B212">
        <v>1</v>
      </c>
      <c r="C212">
        <v>23440</v>
      </c>
      <c r="D212">
        <v>4</v>
      </c>
      <c r="E212">
        <v>8</v>
      </c>
      <c r="F212" t="s">
        <v>12</v>
      </c>
      <c r="G212">
        <v>3</v>
      </c>
    </row>
    <row r="213" spans="1:7" x14ac:dyDescent="0.25">
      <c r="A213">
        <v>212</v>
      </c>
      <c r="B213">
        <v>1</v>
      </c>
      <c r="C213">
        <v>23440</v>
      </c>
      <c r="D213">
        <v>5</v>
      </c>
      <c r="E213">
        <v>9</v>
      </c>
      <c r="F213" t="s">
        <v>12</v>
      </c>
      <c r="G213">
        <v>3</v>
      </c>
    </row>
    <row r="214" spans="1:7" x14ac:dyDescent="0.25">
      <c r="A214">
        <v>213</v>
      </c>
      <c r="B214">
        <v>1</v>
      </c>
      <c r="C214">
        <v>23440</v>
      </c>
      <c r="D214">
        <v>2</v>
      </c>
      <c r="E214">
        <v>6</v>
      </c>
      <c r="F214" t="s">
        <v>8</v>
      </c>
      <c r="G214">
        <v>4</v>
      </c>
    </row>
    <row r="215" spans="1:7" x14ac:dyDescent="0.25">
      <c r="A215">
        <v>214</v>
      </c>
      <c r="B215">
        <v>1</v>
      </c>
      <c r="C215">
        <v>23440</v>
      </c>
      <c r="D215">
        <v>0</v>
      </c>
      <c r="E215">
        <v>3</v>
      </c>
      <c r="F215" t="s">
        <v>10</v>
      </c>
      <c r="G215">
        <v>3</v>
      </c>
    </row>
    <row r="216" spans="1:7" x14ac:dyDescent="0.25">
      <c r="A216">
        <v>215</v>
      </c>
      <c r="B216">
        <v>1</v>
      </c>
      <c r="C216">
        <v>23440</v>
      </c>
      <c r="D216">
        <v>3</v>
      </c>
      <c r="E216">
        <v>6</v>
      </c>
      <c r="F216" t="s">
        <v>7</v>
      </c>
      <c r="G216">
        <v>5</v>
      </c>
    </row>
    <row r="217" spans="1:7" x14ac:dyDescent="0.25">
      <c r="A217">
        <v>216</v>
      </c>
      <c r="B217">
        <v>1</v>
      </c>
      <c r="C217">
        <v>23440</v>
      </c>
      <c r="D217">
        <v>3</v>
      </c>
      <c r="E217">
        <v>6</v>
      </c>
      <c r="F217" t="s">
        <v>7</v>
      </c>
      <c r="G217">
        <v>4</v>
      </c>
    </row>
    <row r="218" spans="1:7" x14ac:dyDescent="0.25">
      <c r="A218">
        <v>217</v>
      </c>
      <c r="B218">
        <v>1</v>
      </c>
      <c r="C218">
        <v>23440</v>
      </c>
      <c r="D218">
        <v>0</v>
      </c>
      <c r="E218">
        <v>3</v>
      </c>
      <c r="F218" t="s">
        <v>10</v>
      </c>
      <c r="G218">
        <v>3</v>
      </c>
    </row>
    <row r="219" spans="1:7" x14ac:dyDescent="0.25">
      <c r="A219">
        <v>218</v>
      </c>
      <c r="B219">
        <v>1</v>
      </c>
      <c r="C219">
        <v>23440</v>
      </c>
      <c r="D219">
        <v>6</v>
      </c>
      <c r="E219">
        <v>10</v>
      </c>
      <c r="F219" t="s">
        <v>7</v>
      </c>
      <c r="G219">
        <v>3</v>
      </c>
    </row>
    <row r="220" spans="1:7" x14ac:dyDescent="0.25">
      <c r="A220">
        <v>219</v>
      </c>
      <c r="B220">
        <v>1</v>
      </c>
      <c r="C220">
        <v>23440</v>
      </c>
      <c r="D220">
        <v>2</v>
      </c>
      <c r="E220">
        <v>5</v>
      </c>
      <c r="F220" t="s">
        <v>7</v>
      </c>
      <c r="G220">
        <v>3</v>
      </c>
    </row>
    <row r="221" spans="1:7" x14ac:dyDescent="0.25">
      <c r="A221">
        <v>220</v>
      </c>
      <c r="B221">
        <v>1</v>
      </c>
      <c r="C221">
        <v>23440</v>
      </c>
      <c r="D221">
        <v>2</v>
      </c>
      <c r="E221">
        <v>7</v>
      </c>
      <c r="F221" t="s">
        <v>12</v>
      </c>
      <c r="G221">
        <v>4</v>
      </c>
    </row>
    <row r="222" spans="1:7" x14ac:dyDescent="0.25">
      <c r="A222">
        <v>221</v>
      </c>
      <c r="B222">
        <v>1</v>
      </c>
      <c r="C222">
        <v>23440</v>
      </c>
      <c r="D222">
        <v>2</v>
      </c>
      <c r="E222">
        <v>7</v>
      </c>
      <c r="F222" t="s">
        <v>15</v>
      </c>
      <c r="G222">
        <v>4</v>
      </c>
    </row>
    <row r="223" spans="1:7" x14ac:dyDescent="0.25">
      <c r="A223">
        <v>222</v>
      </c>
      <c r="B223">
        <v>1</v>
      </c>
      <c r="C223">
        <v>23440</v>
      </c>
      <c r="D223">
        <v>3</v>
      </c>
      <c r="E223">
        <v>6</v>
      </c>
      <c r="F223" t="s">
        <v>12</v>
      </c>
      <c r="G223">
        <v>5</v>
      </c>
    </row>
    <row r="224" spans="1:7" x14ac:dyDescent="0.25">
      <c r="A224">
        <v>223</v>
      </c>
      <c r="B224">
        <v>2</v>
      </c>
      <c r="C224">
        <v>9878</v>
      </c>
      <c r="D224">
        <v>3</v>
      </c>
      <c r="E224">
        <v>8</v>
      </c>
      <c r="F224" t="s">
        <v>10</v>
      </c>
      <c r="G224">
        <v>4</v>
      </c>
    </row>
    <row r="225" spans="1:7" x14ac:dyDescent="0.25">
      <c r="A225">
        <v>224</v>
      </c>
      <c r="B225">
        <v>2</v>
      </c>
      <c r="C225">
        <v>20260</v>
      </c>
      <c r="D225">
        <v>6</v>
      </c>
      <c r="E225">
        <v>11</v>
      </c>
      <c r="F225" t="s">
        <v>10</v>
      </c>
      <c r="G225">
        <v>2</v>
      </c>
    </row>
    <row r="226" spans="1:7" x14ac:dyDescent="0.25">
      <c r="A226">
        <v>225</v>
      </c>
      <c r="B226">
        <v>2</v>
      </c>
      <c r="C226">
        <v>20260</v>
      </c>
      <c r="D226">
        <v>-1</v>
      </c>
      <c r="E226">
        <v>2</v>
      </c>
      <c r="F226" t="s">
        <v>7</v>
      </c>
      <c r="G226">
        <v>2</v>
      </c>
    </row>
    <row r="227" spans="1:7" x14ac:dyDescent="0.25">
      <c r="A227">
        <v>226</v>
      </c>
      <c r="B227">
        <v>2</v>
      </c>
      <c r="C227">
        <v>20260</v>
      </c>
      <c r="D227">
        <v>6</v>
      </c>
      <c r="E227">
        <v>9</v>
      </c>
      <c r="F227" t="s">
        <v>10</v>
      </c>
      <c r="G227">
        <v>5</v>
      </c>
    </row>
    <row r="228" spans="1:7" x14ac:dyDescent="0.25">
      <c r="A228">
        <v>227</v>
      </c>
      <c r="B228">
        <v>2</v>
      </c>
      <c r="C228">
        <v>20260</v>
      </c>
      <c r="D228">
        <v>0</v>
      </c>
      <c r="E228">
        <v>5</v>
      </c>
      <c r="F228" t="s">
        <v>8</v>
      </c>
      <c r="G228">
        <v>3</v>
      </c>
    </row>
    <row r="229" spans="1:7" x14ac:dyDescent="0.25">
      <c r="A229">
        <v>228</v>
      </c>
      <c r="B229">
        <v>2</v>
      </c>
      <c r="C229">
        <v>20260</v>
      </c>
      <c r="D229">
        <v>2</v>
      </c>
      <c r="E229">
        <v>7</v>
      </c>
      <c r="F229" t="s">
        <v>7</v>
      </c>
      <c r="G229">
        <v>3</v>
      </c>
    </row>
    <row r="230" spans="1:7" x14ac:dyDescent="0.25">
      <c r="A230">
        <v>229</v>
      </c>
      <c r="B230">
        <v>2</v>
      </c>
      <c r="C230">
        <v>20260</v>
      </c>
      <c r="D230">
        <v>4</v>
      </c>
      <c r="E230">
        <v>9</v>
      </c>
      <c r="F230" t="s">
        <v>7</v>
      </c>
      <c r="G230">
        <v>5</v>
      </c>
    </row>
    <row r="231" spans="1:7" x14ac:dyDescent="0.25">
      <c r="A231">
        <v>230</v>
      </c>
      <c r="B231">
        <v>2</v>
      </c>
      <c r="C231">
        <v>20260</v>
      </c>
      <c r="D231">
        <v>3</v>
      </c>
      <c r="E231">
        <v>7</v>
      </c>
      <c r="F231" t="s">
        <v>7</v>
      </c>
      <c r="G231">
        <v>5</v>
      </c>
    </row>
    <row r="232" spans="1:7" x14ac:dyDescent="0.25">
      <c r="A232">
        <v>231</v>
      </c>
      <c r="B232">
        <v>2</v>
      </c>
      <c r="C232">
        <v>4200</v>
      </c>
      <c r="D232">
        <v>2</v>
      </c>
      <c r="E232">
        <v>6</v>
      </c>
      <c r="F232" t="s">
        <v>7</v>
      </c>
      <c r="G232">
        <v>3</v>
      </c>
    </row>
    <row r="233" spans="1:7" x14ac:dyDescent="0.25">
      <c r="A233">
        <v>232</v>
      </c>
      <c r="B233">
        <v>2</v>
      </c>
      <c r="C233">
        <v>12686</v>
      </c>
      <c r="D233">
        <v>-1</v>
      </c>
      <c r="E233">
        <v>4</v>
      </c>
      <c r="F233" t="s">
        <v>14</v>
      </c>
      <c r="G233">
        <v>4</v>
      </c>
    </row>
    <row r="234" spans="1:7" x14ac:dyDescent="0.25">
      <c r="A234">
        <v>233</v>
      </c>
      <c r="B234">
        <v>2</v>
      </c>
      <c r="C234">
        <v>29200</v>
      </c>
      <c r="D234">
        <v>0</v>
      </c>
      <c r="E234">
        <v>3</v>
      </c>
      <c r="F234" t="s">
        <v>8</v>
      </c>
      <c r="G234">
        <v>3</v>
      </c>
    </row>
    <row r="235" spans="1:7" x14ac:dyDescent="0.25">
      <c r="A235">
        <v>234</v>
      </c>
      <c r="B235">
        <v>1</v>
      </c>
      <c r="C235">
        <v>20300</v>
      </c>
      <c r="D235">
        <v>-1</v>
      </c>
      <c r="E235">
        <v>2</v>
      </c>
      <c r="F235" t="s">
        <v>7</v>
      </c>
      <c r="G235">
        <v>4</v>
      </c>
    </row>
    <row r="236" spans="1:7" x14ac:dyDescent="0.25">
      <c r="A236">
        <v>235</v>
      </c>
      <c r="B236">
        <v>1</v>
      </c>
      <c r="C236">
        <v>20300</v>
      </c>
      <c r="D236">
        <v>-1</v>
      </c>
      <c r="E236">
        <v>3</v>
      </c>
      <c r="F236" t="s">
        <v>7</v>
      </c>
      <c r="G236">
        <v>5</v>
      </c>
    </row>
    <row r="237" spans="1:7" x14ac:dyDescent="0.25">
      <c r="A237">
        <v>236</v>
      </c>
      <c r="B237">
        <v>1</v>
      </c>
      <c r="C237">
        <v>20300</v>
      </c>
      <c r="D237">
        <v>-1</v>
      </c>
      <c r="E237">
        <v>3</v>
      </c>
      <c r="F237" t="s">
        <v>7</v>
      </c>
      <c r="G237">
        <v>4</v>
      </c>
    </row>
    <row r="238" spans="1:7" x14ac:dyDescent="0.25">
      <c r="A238">
        <v>237</v>
      </c>
      <c r="B238">
        <v>1</v>
      </c>
      <c r="C238">
        <v>20300</v>
      </c>
      <c r="D238">
        <v>2</v>
      </c>
      <c r="E238">
        <v>6</v>
      </c>
      <c r="F238" t="s">
        <v>7</v>
      </c>
      <c r="G238">
        <v>3</v>
      </c>
    </row>
    <row r="239" spans="1:7" x14ac:dyDescent="0.25">
      <c r="A239">
        <v>238</v>
      </c>
      <c r="B239">
        <v>1</v>
      </c>
      <c r="C239">
        <v>20300</v>
      </c>
      <c r="D239">
        <v>2</v>
      </c>
      <c r="E239">
        <v>7</v>
      </c>
      <c r="F239" t="s">
        <v>7</v>
      </c>
      <c r="G239">
        <v>3</v>
      </c>
    </row>
    <row r="240" spans="1:7" x14ac:dyDescent="0.25">
      <c r="A240">
        <v>239</v>
      </c>
      <c r="B240">
        <v>1</v>
      </c>
      <c r="C240">
        <v>20300</v>
      </c>
      <c r="D240">
        <v>0</v>
      </c>
      <c r="E240">
        <v>5</v>
      </c>
      <c r="F240" t="s">
        <v>7</v>
      </c>
      <c r="G240">
        <v>4</v>
      </c>
    </row>
    <row r="241" spans="1:7" x14ac:dyDescent="0.25">
      <c r="A241">
        <v>240</v>
      </c>
      <c r="B241">
        <v>1</v>
      </c>
      <c r="C241">
        <v>20300</v>
      </c>
      <c r="D241">
        <v>0</v>
      </c>
      <c r="E241">
        <v>5</v>
      </c>
      <c r="F241" t="s">
        <v>10</v>
      </c>
      <c r="G241">
        <v>4</v>
      </c>
    </row>
    <row r="242" spans="1:7" x14ac:dyDescent="0.25">
      <c r="A242">
        <v>241</v>
      </c>
      <c r="B242">
        <v>1</v>
      </c>
      <c r="C242">
        <v>20300</v>
      </c>
      <c r="D242">
        <v>5</v>
      </c>
      <c r="E242">
        <v>9</v>
      </c>
      <c r="F242" t="s">
        <v>7</v>
      </c>
      <c r="G242">
        <v>4</v>
      </c>
    </row>
    <row r="243" spans="1:7" x14ac:dyDescent="0.25">
      <c r="A243">
        <v>242</v>
      </c>
      <c r="B243">
        <v>1</v>
      </c>
      <c r="C243">
        <v>20300</v>
      </c>
      <c r="D243">
        <v>-1</v>
      </c>
      <c r="E243">
        <v>2</v>
      </c>
      <c r="F243" t="s">
        <v>12</v>
      </c>
      <c r="G243">
        <v>3</v>
      </c>
    </row>
    <row r="244" spans="1:7" x14ac:dyDescent="0.25">
      <c r="A244">
        <v>243</v>
      </c>
      <c r="B244">
        <v>2</v>
      </c>
      <c r="C244">
        <v>10374</v>
      </c>
      <c r="D244">
        <v>1</v>
      </c>
      <c r="E244">
        <v>5</v>
      </c>
      <c r="F244" t="s">
        <v>7</v>
      </c>
      <c r="G244">
        <v>4</v>
      </c>
    </row>
    <row r="245" spans="1:7" x14ac:dyDescent="0.25">
      <c r="A245">
        <v>244</v>
      </c>
      <c r="B245">
        <v>2</v>
      </c>
      <c r="C245">
        <v>23200</v>
      </c>
      <c r="D245">
        <v>2</v>
      </c>
      <c r="E245">
        <v>5</v>
      </c>
      <c r="F245" t="s">
        <v>10</v>
      </c>
      <c r="G245">
        <v>4</v>
      </c>
    </row>
    <row r="246" spans="1:7" x14ac:dyDescent="0.25">
      <c r="A246">
        <v>245</v>
      </c>
      <c r="B246">
        <v>2</v>
      </c>
      <c r="C246">
        <v>15200</v>
      </c>
      <c r="D246">
        <v>2</v>
      </c>
      <c r="E246">
        <v>6</v>
      </c>
      <c r="F246" t="s">
        <v>7</v>
      </c>
      <c r="G246">
        <v>3</v>
      </c>
    </row>
    <row r="247" spans="1:7" x14ac:dyDescent="0.25">
      <c r="A247">
        <v>246</v>
      </c>
      <c r="B247">
        <v>1</v>
      </c>
      <c r="C247">
        <v>22300</v>
      </c>
      <c r="D247">
        <v>5</v>
      </c>
      <c r="E247">
        <v>8</v>
      </c>
      <c r="F247" t="s">
        <v>7</v>
      </c>
      <c r="G247">
        <v>4</v>
      </c>
    </row>
    <row r="248" spans="1:7" x14ac:dyDescent="0.25">
      <c r="A248">
        <v>247</v>
      </c>
      <c r="B248">
        <v>2</v>
      </c>
      <c r="C248">
        <v>9200</v>
      </c>
      <c r="D248">
        <v>5</v>
      </c>
      <c r="E248">
        <v>10</v>
      </c>
      <c r="F248" t="s">
        <v>7</v>
      </c>
      <c r="G248">
        <v>2</v>
      </c>
    </row>
    <row r="249" spans="1:7" x14ac:dyDescent="0.25">
      <c r="A249">
        <v>248</v>
      </c>
      <c r="B249">
        <v>2</v>
      </c>
      <c r="C249">
        <v>9200</v>
      </c>
      <c r="D249">
        <v>1</v>
      </c>
      <c r="E249">
        <v>6</v>
      </c>
      <c r="F249" t="s">
        <v>7</v>
      </c>
      <c r="G249">
        <v>3</v>
      </c>
    </row>
    <row r="250" spans="1:7" x14ac:dyDescent="0.25">
      <c r="A250">
        <v>249</v>
      </c>
      <c r="B250">
        <v>2</v>
      </c>
      <c r="C250">
        <v>11885</v>
      </c>
      <c r="D250">
        <v>5</v>
      </c>
      <c r="E250">
        <v>8</v>
      </c>
      <c r="F250" t="s">
        <v>8</v>
      </c>
      <c r="G250">
        <v>2</v>
      </c>
    </row>
    <row r="251" spans="1:7" x14ac:dyDescent="0.25">
      <c r="A251">
        <v>250</v>
      </c>
      <c r="B251">
        <v>1</v>
      </c>
      <c r="C251">
        <v>9332</v>
      </c>
      <c r="D251">
        <v>1</v>
      </c>
      <c r="E251">
        <v>4</v>
      </c>
      <c r="F251" t="s">
        <v>7</v>
      </c>
      <c r="G251">
        <v>3</v>
      </c>
    </row>
    <row r="252" spans="1:7" x14ac:dyDescent="0.25">
      <c r="A252">
        <v>251</v>
      </c>
      <c r="B252">
        <v>2</v>
      </c>
      <c r="C252">
        <v>22300</v>
      </c>
      <c r="D252">
        <v>0</v>
      </c>
      <c r="E252">
        <v>3</v>
      </c>
      <c r="F252" t="s">
        <v>10</v>
      </c>
      <c r="G252">
        <v>2</v>
      </c>
    </row>
    <row r="253" spans="1:7" x14ac:dyDescent="0.25">
      <c r="A253">
        <v>252</v>
      </c>
      <c r="B253">
        <v>1</v>
      </c>
      <c r="C253">
        <v>22300</v>
      </c>
      <c r="D253">
        <v>0</v>
      </c>
      <c r="E253">
        <v>3</v>
      </c>
      <c r="F253" t="s">
        <v>7</v>
      </c>
      <c r="G253">
        <v>4</v>
      </c>
    </row>
    <row r="254" spans="1:7" x14ac:dyDescent="0.25">
      <c r="A254">
        <v>253</v>
      </c>
      <c r="B254">
        <v>1</v>
      </c>
      <c r="C254">
        <v>20300</v>
      </c>
      <c r="D254">
        <v>2</v>
      </c>
      <c r="E254">
        <v>6</v>
      </c>
      <c r="F254" t="s">
        <v>10</v>
      </c>
      <c r="G254">
        <v>4</v>
      </c>
    </row>
    <row r="255" spans="1:7" x14ac:dyDescent="0.25">
      <c r="A255">
        <v>254</v>
      </c>
      <c r="B255">
        <v>2</v>
      </c>
      <c r="C255">
        <v>9200</v>
      </c>
      <c r="D255">
        <v>2</v>
      </c>
      <c r="E255">
        <v>5</v>
      </c>
      <c r="F255" t="s">
        <v>8</v>
      </c>
      <c r="G255">
        <v>4</v>
      </c>
    </row>
    <row r="256" spans="1:7" x14ac:dyDescent="0.25">
      <c r="A256">
        <v>255</v>
      </c>
      <c r="B256">
        <v>2</v>
      </c>
      <c r="C256">
        <v>12370</v>
      </c>
      <c r="D256">
        <v>3</v>
      </c>
      <c r="E256">
        <v>8</v>
      </c>
      <c r="F256" t="s">
        <v>7</v>
      </c>
      <c r="G256">
        <v>3</v>
      </c>
    </row>
    <row r="257" spans="1:7" x14ac:dyDescent="0.25">
      <c r="A257">
        <v>256</v>
      </c>
      <c r="B257">
        <v>1</v>
      </c>
      <c r="C257">
        <v>27750</v>
      </c>
      <c r="D257">
        <v>2</v>
      </c>
      <c r="E257">
        <v>7</v>
      </c>
      <c r="F257" t="s">
        <v>7</v>
      </c>
      <c r="G257">
        <v>4</v>
      </c>
    </row>
    <row r="258" spans="1:7" x14ac:dyDescent="0.25">
      <c r="A258">
        <v>257</v>
      </c>
      <c r="B258">
        <v>1</v>
      </c>
      <c r="C258">
        <v>3980</v>
      </c>
      <c r="D258">
        <v>3</v>
      </c>
      <c r="E258">
        <v>7</v>
      </c>
      <c r="F258" t="s">
        <v>10</v>
      </c>
      <c r="G258">
        <v>3</v>
      </c>
    </row>
    <row r="259" spans="1:7" x14ac:dyDescent="0.25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</v>
      </c>
      <c r="G259">
        <v>4</v>
      </c>
    </row>
    <row r="260" spans="1:7" x14ac:dyDescent="0.25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</v>
      </c>
      <c r="G260">
        <v>3</v>
      </c>
    </row>
    <row r="261" spans="1:7" x14ac:dyDescent="0.25">
      <c r="A261">
        <v>260</v>
      </c>
      <c r="B261">
        <v>1</v>
      </c>
      <c r="C261">
        <v>22200</v>
      </c>
      <c r="D261">
        <v>0</v>
      </c>
      <c r="E261">
        <v>5</v>
      </c>
      <c r="F261" t="s">
        <v>10</v>
      </c>
      <c r="G261">
        <v>4</v>
      </c>
    </row>
    <row r="262" spans="1:7" x14ac:dyDescent="0.25">
      <c r="A262">
        <v>261</v>
      </c>
      <c r="B262">
        <v>1</v>
      </c>
      <c r="C262">
        <v>22300</v>
      </c>
      <c r="D262">
        <v>5</v>
      </c>
      <c r="E262">
        <v>8</v>
      </c>
      <c r="F262" t="s">
        <v>7</v>
      </c>
      <c r="G262">
        <v>3</v>
      </c>
    </row>
    <row r="263" spans="1:7" x14ac:dyDescent="0.25">
      <c r="A263">
        <v>262</v>
      </c>
      <c r="B263">
        <v>2</v>
      </c>
      <c r="C263">
        <v>24200</v>
      </c>
      <c r="D263">
        <v>5</v>
      </c>
      <c r="E263">
        <v>8</v>
      </c>
      <c r="F263" t="s">
        <v>13</v>
      </c>
      <c r="G263">
        <v>4</v>
      </c>
    </row>
    <row r="264" spans="1:7" x14ac:dyDescent="0.25">
      <c r="A264">
        <v>263</v>
      </c>
      <c r="B264">
        <v>2</v>
      </c>
      <c r="C264">
        <v>24200</v>
      </c>
      <c r="D264">
        <v>3</v>
      </c>
      <c r="E264">
        <v>8</v>
      </c>
      <c r="F264" t="s">
        <v>10</v>
      </c>
      <c r="G264">
        <v>3</v>
      </c>
    </row>
    <row r="265" spans="1:7" x14ac:dyDescent="0.25">
      <c r="A265">
        <v>264</v>
      </c>
      <c r="B265">
        <v>2</v>
      </c>
      <c r="C265">
        <v>10254</v>
      </c>
      <c r="D265">
        <v>2</v>
      </c>
      <c r="E265">
        <v>6</v>
      </c>
      <c r="F265" t="s">
        <v>7</v>
      </c>
      <c r="G265">
        <v>2</v>
      </c>
    </row>
    <row r="266" spans="1:7" x14ac:dyDescent="0.25">
      <c r="A266">
        <v>265</v>
      </c>
      <c r="B266">
        <v>2</v>
      </c>
      <c r="C266">
        <v>17431</v>
      </c>
      <c r="D266">
        <v>0</v>
      </c>
      <c r="E266">
        <v>4</v>
      </c>
      <c r="F266" t="s">
        <v>10</v>
      </c>
      <c r="G266">
        <v>3</v>
      </c>
    </row>
    <row r="267" spans="1:7" x14ac:dyDescent="0.25">
      <c r="A267">
        <v>266</v>
      </c>
      <c r="B267">
        <v>2</v>
      </c>
      <c r="C267">
        <v>15200</v>
      </c>
      <c r="D267">
        <v>5</v>
      </c>
      <c r="E267">
        <v>8</v>
      </c>
      <c r="F267" t="s">
        <v>7</v>
      </c>
      <c r="G267">
        <v>4</v>
      </c>
    </row>
    <row r="268" spans="1:7" x14ac:dyDescent="0.25">
      <c r="A268">
        <v>267</v>
      </c>
      <c r="B268">
        <v>2</v>
      </c>
      <c r="C268">
        <v>8700</v>
      </c>
      <c r="D268">
        <v>4</v>
      </c>
      <c r="E268">
        <v>9</v>
      </c>
      <c r="F268" t="s">
        <v>12</v>
      </c>
      <c r="G268">
        <v>3</v>
      </c>
    </row>
    <row r="269" spans="1:7" x14ac:dyDescent="0.25">
      <c r="A269">
        <v>268</v>
      </c>
      <c r="B269">
        <v>2</v>
      </c>
      <c r="C269">
        <v>4200</v>
      </c>
      <c r="D269">
        <v>1</v>
      </c>
      <c r="E269">
        <v>5</v>
      </c>
      <c r="F269" t="s">
        <v>10</v>
      </c>
      <c r="G269">
        <v>3</v>
      </c>
    </row>
    <row r="270" spans="1:7" x14ac:dyDescent="0.25">
      <c r="A270">
        <v>269</v>
      </c>
      <c r="B270">
        <v>2</v>
      </c>
      <c r="C270">
        <v>24200</v>
      </c>
      <c r="D270">
        <v>2</v>
      </c>
      <c r="E270">
        <v>7</v>
      </c>
      <c r="F270" t="s">
        <v>10</v>
      </c>
      <c r="G270">
        <v>4</v>
      </c>
    </row>
    <row r="271" spans="1:7" x14ac:dyDescent="0.25">
      <c r="A271">
        <v>270</v>
      </c>
      <c r="B271">
        <v>2</v>
      </c>
      <c r="C271">
        <v>18400</v>
      </c>
      <c r="D271">
        <v>5</v>
      </c>
      <c r="E271">
        <v>10</v>
      </c>
      <c r="F271" t="s">
        <v>12</v>
      </c>
      <c r="G271">
        <v>3</v>
      </c>
    </row>
    <row r="272" spans="1:7" x14ac:dyDescent="0.25">
      <c r="A272">
        <v>271</v>
      </c>
      <c r="B272">
        <v>2</v>
      </c>
      <c r="C272">
        <v>11700</v>
      </c>
      <c r="D272">
        <v>4</v>
      </c>
      <c r="E272">
        <v>8</v>
      </c>
      <c r="F272" t="s">
        <v>7</v>
      </c>
      <c r="G272">
        <v>3</v>
      </c>
    </row>
    <row r="273" spans="1:7" x14ac:dyDescent="0.25">
      <c r="A273">
        <v>272</v>
      </c>
      <c r="B273">
        <v>2</v>
      </c>
      <c r="C273">
        <v>15400</v>
      </c>
      <c r="D273">
        <v>0</v>
      </c>
      <c r="E273">
        <v>4</v>
      </c>
      <c r="F273" t="s">
        <v>8</v>
      </c>
      <c r="G273">
        <v>5</v>
      </c>
    </row>
    <row r="274" spans="1:7" x14ac:dyDescent="0.25">
      <c r="A274">
        <v>273</v>
      </c>
      <c r="B274">
        <v>2</v>
      </c>
      <c r="C274">
        <v>17232</v>
      </c>
      <c r="D274">
        <v>-1</v>
      </c>
      <c r="E274">
        <v>4</v>
      </c>
      <c r="F274" t="s">
        <v>10</v>
      </c>
      <c r="G274">
        <v>4</v>
      </c>
    </row>
    <row r="275" spans="1:7" x14ac:dyDescent="0.25">
      <c r="A275">
        <v>274</v>
      </c>
      <c r="B275">
        <v>2</v>
      </c>
      <c r="C275">
        <v>14200</v>
      </c>
      <c r="D275">
        <v>1</v>
      </c>
      <c r="E275">
        <v>6</v>
      </c>
      <c r="F275" t="s">
        <v>10</v>
      </c>
      <c r="G275">
        <v>4</v>
      </c>
    </row>
    <row r="276" spans="1:7" x14ac:dyDescent="0.25">
      <c r="A276">
        <v>275</v>
      </c>
      <c r="B276">
        <v>2</v>
      </c>
      <c r="C276">
        <v>14603</v>
      </c>
      <c r="D276">
        <v>5</v>
      </c>
      <c r="E276">
        <v>9</v>
      </c>
      <c r="F276" t="s">
        <v>10</v>
      </c>
      <c r="G276">
        <v>3</v>
      </c>
    </row>
    <row r="277" spans="1:7" x14ac:dyDescent="0.25">
      <c r="A277">
        <v>276</v>
      </c>
      <c r="B277">
        <v>2</v>
      </c>
      <c r="C277">
        <v>14200</v>
      </c>
      <c r="D277">
        <v>1</v>
      </c>
      <c r="E277">
        <v>5</v>
      </c>
      <c r="F277" t="s">
        <v>13</v>
      </c>
      <c r="G277">
        <v>3</v>
      </c>
    </row>
    <row r="278" spans="1:7" x14ac:dyDescent="0.25">
      <c r="A278">
        <v>277</v>
      </c>
      <c r="B278">
        <v>2</v>
      </c>
      <c r="C278">
        <v>14200</v>
      </c>
      <c r="D278">
        <v>2</v>
      </c>
      <c r="E278">
        <v>6</v>
      </c>
      <c r="F278" t="s">
        <v>7</v>
      </c>
      <c r="G278">
        <v>4</v>
      </c>
    </row>
    <row r="279" spans="1:7" x14ac:dyDescent="0.25">
      <c r="A279">
        <v>278</v>
      </c>
      <c r="B279">
        <v>2</v>
      </c>
      <c r="C279">
        <v>13136</v>
      </c>
      <c r="D279">
        <v>4</v>
      </c>
      <c r="E279">
        <v>9</v>
      </c>
      <c r="F279" t="s">
        <v>10</v>
      </c>
      <c r="G279">
        <v>4</v>
      </c>
    </row>
    <row r="280" spans="1:7" x14ac:dyDescent="0.25">
      <c r="A280">
        <v>279</v>
      </c>
      <c r="B280">
        <v>2</v>
      </c>
      <c r="C280">
        <v>14200</v>
      </c>
      <c r="D280">
        <v>-1</v>
      </c>
      <c r="E280">
        <v>3</v>
      </c>
      <c r="F280" t="s">
        <v>7</v>
      </c>
      <c r="G280">
        <v>4</v>
      </c>
    </row>
    <row r="281" spans="1:7" x14ac:dyDescent="0.25">
      <c r="A281">
        <v>280</v>
      </c>
      <c r="B281">
        <v>2</v>
      </c>
      <c r="C281">
        <v>9973</v>
      </c>
      <c r="D281">
        <v>2</v>
      </c>
      <c r="E281">
        <v>5</v>
      </c>
      <c r="F281" t="s">
        <v>10</v>
      </c>
      <c r="G281">
        <v>4</v>
      </c>
    </row>
    <row r="282" spans="1:7" x14ac:dyDescent="0.25">
      <c r="A282">
        <v>281</v>
      </c>
      <c r="B282">
        <v>2</v>
      </c>
      <c r="C282">
        <v>14200</v>
      </c>
      <c r="D282">
        <v>1</v>
      </c>
      <c r="E282">
        <v>4</v>
      </c>
      <c r="F282" t="s">
        <v>10</v>
      </c>
      <c r="G282">
        <v>4</v>
      </c>
    </row>
    <row r="283" spans="1:7" x14ac:dyDescent="0.25">
      <c r="A283">
        <v>282</v>
      </c>
      <c r="B283">
        <v>2</v>
      </c>
      <c r="C283">
        <v>14200</v>
      </c>
      <c r="D283">
        <v>-1</v>
      </c>
      <c r="E283">
        <v>3</v>
      </c>
      <c r="F283" t="s">
        <v>7</v>
      </c>
      <c r="G283">
        <v>4</v>
      </c>
    </row>
    <row r="284" spans="1:7" x14ac:dyDescent="0.25">
      <c r="A284">
        <v>283</v>
      </c>
      <c r="B284">
        <v>2</v>
      </c>
      <c r="C284">
        <v>14200</v>
      </c>
      <c r="D284">
        <v>2</v>
      </c>
      <c r="E284">
        <v>6</v>
      </c>
      <c r="F284" t="s">
        <v>10</v>
      </c>
      <c r="G284">
        <v>4</v>
      </c>
    </row>
    <row r="285" spans="1:7" x14ac:dyDescent="0.25">
      <c r="A285">
        <v>284</v>
      </c>
      <c r="B285">
        <v>2</v>
      </c>
      <c r="C285">
        <v>12700</v>
      </c>
      <c r="D285">
        <v>0</v>
      </c>
      <c r="E285">
        <v>4</v>
      </c>
      <c r="F285" t="s">
        <v>14</v>
      </c>
      <c r="G285">
        <v>3</v>
      </c>
    </row>
    <row r="286" spans="1:7" x14ac:dyDescent="0.25">
      <c r="A286">
        <v>285</v>
      </c>
      <c r="B286">
        <v>2</v>
      </c>
      <c r="C286">
        <v>7588</v>
      </c>
      <c r="D286">
        <v>4</v>
      </c>
      <c r="E286">
        <v>9</v>
      </c>
      <c r="F286" t="s">
        <v>7</v>
      </c>
      <c r="G286">
        <v>3</v>
      </c>
    </row>
    <row r="287" spans="1:7" x14ac:dyDescent="0.25">
      <c r="A287">
        <v>286</v>
      </c>
      <c r="B287">
        <v>2</v>
      </c>
      <c r="C287">
        <v>14200</v>
      </c>
      <c r="D287">
        <v>5</v>
      </c>
      <c r="E287">
        <v>8</v>
      </c>
      <c r="F287" t="s">
        <v>7</v>
      </c>
      <c r="G287">
        <v>2</v>
      </c>
    </row>
    <row r="288" spans="1:7" x14ac:dyDescent="0.25">
      <c r="A288">
        <v>287</v>
      </c>
      <c r="B288">
        <v>2</v>
      </c>
      <c r="C288">
        <v>14200</v>
      </c>
      <c r="D288">
        <v>3</v>
      </c>
      <c r="E288">
        <v>7</v>
      </c>
      <c r="F288" t="s">
        <v>7</v>
      </c>
      <c r="G288">
        <v>5</v>
      </c>
    </row>
    <row r="289" spans="1:7" x14ac:dyDescent="0.25">
      <c r="A289">
        <v>288</v>
      </c>
      <c r="B289">
        <v>2</v>
      </c>
      <c r="C289">
        <v>16226</v>
      </c>
      <c r="D289">
        <v>5</v>
      </c>
      <c r="E289">
        <v>8</v>
      </c>
      <c r="F289" t="s">
        <v>7</v>
      </c>
      <c r="G289">
        <v>4</v>
      </c>
    </row>
    <row r="290" spans="1:7" x14ac:dyDescent="0.25">
      <c r="A290">
        <v>289</v>
      </c>
      <c r="B290">
        <v>2</v>
      </c>
      <c r="C290">
        <v>14400</v>
      </c>
      <c r="D290">
        <v>2</v>
      </c>
      <c r="E290">
        <v>5</v>
      </c>
      <c r="F290" t="s">
        <v>7</v>
      </c>
      <c r="G290">
        <v>4</v>
      </c>
    </row>
    <row r="291" spans="1:7" x14ac:dyDescent="0.25">
      <c r="A291">
        <v>290</v>
      </c>
      <c r="B291">
        <v>2</v>
      </c>
      <c r="C291">
        <v>14088</v>
      </c>
      <c r="D291">
        <v>0</v>
      </c>
      <c r="E291">
        <v>3</v>
      </c>
      <c r="F291" t="s">
        <v>7</v>
      </c>
      <c r="G291">
        <v>3</v>
      </c>
    </row>
    <row r="292" spans="1:7" x14ac:dyDescent="0.25">
      <c r="A292">
        <v>291</v>
      </c>
      <c r="B292">
        <v>2</v>
      </c>
      <c r="C292">
        <v>10292</v>
      </c>
      <c r="D292">
        <v>5</v>
      </c>
      <c r="E292">
        <v>8</v>
      </c>
      <c r="F292" t="s">
        <v>12</v>
      </c>
      <c r="G292">
        <v>3</v>
      </c>
    </row>
    <row r="293" spans="1:7" x14ac:dyDescent="0.25">
      <c r="A293">
        <v>292</v>
      </c>
      <c r="B293">
        <v>2</v>
      </c>
      <c r="C293">
        <v>16254</v>
      </c>
      <c r="D293">
        <v>1</v>
      </c>
      <c r="E293">
        <v>5</v>
      </c>
      <c r="F293" t="s">
        <v>13</v>
      </c>
      <c r="G293">
        <v>3</v>
      </c>
    </row>
    <row r="294" spans="1:7" x14ac:dyDescent="0.25">
      <c r="A294">
        <v>293</v>
      </c>
      <c r="B294">
        <v>2</v>
      </c>
      <c r="C294">
        <v>14200</v>
      </c>
      <c r="D294">
        <v>4</v>
      </c>
      <c r="E294">
        <v>8</v>
      </c>
      <c r="F294" t="s">
        <v>7</v>
      </c>
      <c r="G294">
        <v>3</v>
      </c>
    </row>
    <row r="295" spans="1:7" x14ac:dyDescent="0.25">
      <c r="A295">
        <v>294</v>
      </c>
      <c r="B295">
        <v>2</v>
      </c>
      <c r="C295">
        <v>12200</v>
      </c>
      <c r="D295">
        <v>3</v>
      </c>
      <c r="E295">
        <v>7</v>
      </c>
      <c r="F295" t="s">
        <v>7</v>
      </c>
      <c r="G295">
        <v>5</v>
      </c>
    </row>
    <row r="296" spans="1:7" x14ac:dyDescent="0.25">
      <c r="A296">
        <v>295</v>
      </c>
      <c r="B296">
        <v>2</v>
      </c>
      <c r="C296">
        <v>11782</v>
      </c>
      <c r="D296">
        <v>0</v>
      </c>
      <c r="E296">
        <v>5</v>
      </c>
      <c r="F296" t="s">
        <v>8</v>
      </c>
      <c r="G296">
        <v>4</v>
      </c>
    </row>
    <row r="297" spans="1:7" x14ac:dyDescent="0.25">
      <c r="A297">
        <v>296</v>
      </c>
      <c r="B297">
        <v>2</v>
      </c>
      <c r="C297">
        <v>7976</v>
      </c>
      <c r="D297">
        <v>6</v>
      </c>
      <c r="E297">
        <v>11</v>
      </c>
      <c r="F297" t="s">
        <v>10</v>
      </c>
      <c r="G297">
        <v>3</v>
      </c>
    </row>
    <row r="298" spans="1:7" x14ac:dyDescent="0.25">
      <c r="A298">
        <v>297</v>
      </c>
      <c r="B298">
        <v>2</v>
      </c>
      <c r="C298">
        <v>14200</v>
      </c>
      <c r="D298">
        <v>6</v>
      </c>
      <c r="E298">
        <v>11</v>
      </c>
      <c r="F298" t="s">
        <v>10</v>
      </c>
      <c r="G298">
        <v>2</v>
      </c>
    </row>
    <row r="299" spans="1:7" x14ac:dyDescent="0.25">
      <c r="A299">
        <v>298</v>
      </c>
      <c r="B299">
        <v>2</v>
      </c>
      <c r="C299">
        <v>14200</v>
      </c>
      <c r="D299">
        <v>5</v>
      </c>
      <c r="E299">
        <v>8</v>
      </c>
      <c r="F299" t="s">
        <v>7</v>
      </c>
      <c r="G299">
        <v>4</v>
      </c>
    </row>
    <row r="300" spans="1:7" x14ac:dyDescent="0.25">
      <c r="A300">
        <v>299</v>
      </c>
      <c r="B300">
        <v>2</v>
      </c>
      <c r="C300">
        <v>7978</v>
      </c>
      <c r="D300">
        <v>2</v>
      </c>
      <c r="E300">
        <v>6</v>
      </c>
      <c r="F300" t="s">
        <v>7</v>
      </c>
      <c r="G300">
        <v>4</v>
      </c>
    </row>
  </sheetData>
  <sortState ref="A2:J30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E317"/>
  <sheetViews>
    <sheetView workbookViewId="0">
      <selection activeCell="S5" sqref="S5:EE5 H19:AE317"/>
    </sheetView>
  </sheetViews>
  <sheetFormatPr defaultRowHeight="15" x14ac:dyDescent="0.25"/>
  <sheetData>
    <row r="1" spans="1:135" x14ac:dyDescent="0.25">
      <c r="A1" t="s">
        <v>68</v>
      </c>
      <c r="B1" t="s">
        <v>69</v>
      </c>
      <c r="C1" t="s">
        <v>70</v>
      </c>
      <c r="D1" t="s">
        <v>71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81</v>
      </c>
      <c r="M1" t="s">
        <v>79</v>
      </c>
      <c r="N1" t="s">
        <v>80</v>
      </c>
      <c r="Q1">
        <f>SUM($AF$19:$BC$317) +$Q$3</f>
        <v>0</v>
      </c>
      <c r="S1" t="s">
        <v>38</v>
      </c>
    </row>
    <row r="2" spans="1:135" x14ac:dyDescent="0.25">
      <c r="A2" t="s">
        <v>16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>
        <v>250</v>
      </c>
      <c r="N2">
        <v>4000000</v>
      </c>
      <c r="P2" t="s">
        <v>55</v>
      </c>
      <c r="R2" t="s">
        <v>39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1</v>
      </c>
      <c r="AH2">
        <v>1</v>
      </c>
      <c r="AI2">
        <v>1</v>
      </c>
      <c r="AJ2">
        <v>1</v>
      </c>
      <c r="AK2">
        <v>2</v>
      </c>
      <c r="AL2">
        <v>2</v>
      </c>
      <c r="AM2">
        <v>2</v>
      </c>
      <c r="AN2">
        <v>2</v>
      </c>
      <c r="AO2">
        <v>2</v>
      </c>
      <c r="AP2">
        <v>2</v>
      </c>
      <c r="AQ2">
        <v>2</v>
      </c>
      <c r="AR2">
        <v>2</v>
      </c>
      <c r="AS2">
        <v>2</v>
      </c>
      <c r="AT2">
        <v>2</v>
      </c>
      <c r="AU2">
        <v>2</v>
      </c>
      <c r="AV2">
        <v>2</v>
      </c>
      <c r="AW2">
        <v>2</v>
      </c>
      <c r="AX2">
        <v>2</v>
      </c>
      <c r="AY2">
        <v>2</v>
      </c>
      <c r="AZ2">
        <v>2</v>
      </c>
      <c r="BA2">
        <v>2</v>
      </c>
      <c r="BB2">
        <v>2</v>
      </c>
      <c r="BC2">
        <v>4</v>
      </c>
      <c r="BD2">
        <v>4</v>
      </c>
      <c r="BE2">
        <v>4</v>
      </c>
      <c r="BF2">
        <v>4</v>
      </c>
      <c r="BG2">
        <v>4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4</v>
      </c>
      <c r="BO2">
        <v>4</v>
      </c>
      <c r="BP2">
        <v>4</v>
      </c>
      <c r="BQ2">
        <v>4</v>
      </c>
      <c r="BR2">
        <v>4</v>
      </c>
      <c r="BS2">
        <v>4</v>
      </c>
      <c r="BT2">
        <v>4</v>
      </c>
      <c r="BU2">
        <v>5</v>
      </c>
      <c r="BV2">
        <v>5</v>
      </c>
      <c r="BW2">
        <v>5</v>
      </c>
      <c r="BX2">
        <v>5</v>
      </c>
      <c r="BY2">
        <v>5</v>
      </c>
      <c r="BZ2">
        <v>5</v>
      </c>
      <c r="CA2">
        <v>5</v>
      </c>
      <c r="CB2">
        <v>5</v>
      </c>
      <c r="CC2">
        <v>5</v>
      </c>
      <c r="CD2">
        <v>5</v>
      </c>
      <c r="CE2">
        <v>5</v>
      </c>
      <c r="CF2">
        <v>5</v>
      </c>
      <c r="CG2">
        <v>5</v>
      </c>
      <c r="CH2">
        <v>5</v>
      </c>
      <c r="CI2">
        <v>5</v>
      </c>
      <c r="CJ2">
        <v>5</v>
      </c>
      <c r="CK2">
        <v>5</v>
      </c>
      <c r="CL2">
        <v>5</v>
      </c>
      <c r="CM2">
        <v>6</v>
      </c>
      <c r="CN2">
        <v>6</v>
      </c>
      <c r="CO2">
        <v>6</v>
      </c>
      <c r="CP2">
        <v>6</v>
      </c>
      <c r="CQ2">
        <v>6</v>
      </c>
      <c r="CR2">
        <v>6</v>
      </c>
      <c r="CS2">
        <v>6</v>
      </c>
      <c r="CT2">
        <v>6</v>
      </c>
      <c r="CU2">
        <v>6</v>
      </c>
      <c r="CV2">
        <v>6</v>
      </c>
      <c r="CW2">
        <v>6</v>
      </c>
      <c r="CX2">
        <v>6</v>
      </c>
      <c r="CY2">
        <v>6</v>
      </c>
      <c r="CZ2">
        <v>6</v>
      </c>
      <c r="DA2">
        <v>6</v>
      </c>
      <c r="DB2">
        <v>6</v>
      </c>
      <c r="DC2">
        <v>6</v>
      </c>
      <c r="DD2">
        <v>6</v>
      </c>
      <c r="DE2">
        <v>7</v>
      </c>
      <c r="DF2">
        <v>7</v>
      </c>
      <c r="DG2">
        <v>7</v>
      </c>
      <c r="DH2">
        <v>7</v>
      </c>
      <c r="DI2">
        <v>7</v>
      </c>
      <c r="DJ2">
        <v>7</v>
      </c>
      <c r="DK2">
        <v>7</v>
      </c>
      <c r="DL2">
        <v>7</v>
      </c>
      <c r="DM2">
        <v>7</v>
      </c>
      <c r="DN2">
        <v>8</v>
      </c>
      <c r="DO2">
        <v>8</v>
      </c>
      <c r="DP2">
        <v>8</v>
      </c>
      <c r="DQ2">
        <v>8</v>
      </c>
      <c r="DR2">
        <v>8</v>
      </c>
      <c r="DS2">
        <v>8</v>
      </c>
      <c r="DT2">
        <v>8</v>
      </c>
      <c r="DU2">
        <v>8</v>
      </c>
      <c r="DV2">
        <v>8</v>
      </c>
      <c r="DW2">
        <v>9</v>
      </c>
      <c r="DX2">
        <v>9</v>
      </c>
      <c r="DY2">
        <v>9</v>
      </c>
      <c r="DZ2">
        <v>9</v>
      </c>
      <c r="EA2">
        <v>9</v>
      </c>
      <c r="EB2">
        <v>9</v>
      </c>
      <c r="EC2">
        <v>9</v>
      </c>
      <c r="ED2">
        <v>9</v>
      </c>
      <c r="EE2">
        <v>9</v>
      </c>
    </row>
    <row r="3" spans="1:135" x14ac:dyDescent="0.25">
      <c r="A3" t="s">
        <v>17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1</v>
      </c>
      <c r="I3">
        <v>0</v>
      </c>
      <c r="J3">
        <v>1</v>
      </c>
      <c r="K3">
        <v>0</v>
      </c>
      <c r="L3">
        <v>0</v>
      </c>
      <c r="M3">
        <v>200</v>
      </c>
      <c r="N3">
        <v>3000000</v>
      </c>
      <c r="P3" t="s">
        <v>52</v>
      </c>
      <c r="Q3">
        <f>SUM($S$6:$EE$6)</f>
        <v>0</v>
      </c>
      <c r="R3" t="s">
        <v>40</v>
      </c>
      <c r="S3">
        <v>4</v>
      </c>
      <c r="T3">
        <v>4</v>
      </c>
      <c r="U3">
        <v>4</v>
      </c>
      <c r="V3">
        <v>4</v>
      </c>
      <c r="W3">
        <v>4</v>
      </c>
      <c r="X3">
        <v>4</v>
      </c>
      <c r="Y3">
        <v>4</v>
      </c>
      <c r="Z3">
        <v>4</v>
      </c>
      <c r="AA3">
        <v>4</v>
      </c>
      <c r="AB3">
        <v>5</v>
      </c>
      <c r="AC3">
        <v>5</v>
      </c>
      <c r="AD3">
        <v>5</v>
      </c>
      <c r="AE3">
        <v>5</v>
      </c>
      <c r="AF3">
        <v>5</v>
      </c>
      <c r="AG3">
        <v>5</v>
      </c>
      <c r="AH3">
        <v>5</v>
      </c>
      <c r="AI3">
        <v>5</v>
      </c>
      <c r="AJ3">
        <v>5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2</v>
      </c>
      <c r="BD3">
        <v>2</v>
      </c>
      <c r="BE3">
        <v>2</v>
      </c>
      <c r="BF3">
        <v>2</v>
      </c>
      <c r="BG3">
        <v>2</v>
      </c>
      <c r="BH3">
        <v>2</v>
      </c>
      <c r="BI3">
        <v>2</v>
      </c>
      <c r="BJ3">
        <v>2</v>
      </c>
      <c r="BK3">
        <v>2</v>
      </c>
      <c r="BL3">
        <v>5</v>
      </c>
      <c r="BM3">
        <v>5</v>
      </c>
      <c r="BN3">
        <v>5</v>
      </c>
      <c r="BO3">
        <v>5</v>
      </c>
      <c r="BP3">
        <v>5</v>
      </c>
      <c r="BQ3">
        <v>5</v>
      </c>
      <c r="BR3">
        <v>5</v>
      </c>
      <c r="BS3">
        <v>5</v>
      </c>
      <c r="BT3">
        <v>5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6</v>
      </c>
      <c r="CE3">
        <v>6</v>
      </c>
      <c r="CF3">
        <v>6</v>
      </c>
      <c r="CG3">
        <v>6</v>
      </c>
      <c r="CH3">
        <v>6</v>
      </c>
      <c r="CI3">
        <v>6</v>
      </c>
      <c r="CJ3">
        <v>6</v>
      </c>
      <c r="CK3">
        <v>6</v>
      </c>
      <c r="CL3">
        <v>6</v>
      </c>
      <c r="CM3">
        <v>1</v>
      </c>
      <c r="CN3">
        <v>1</v>
      </c>
      <c r="CO3">
        <v>1</v>
      </c>
      <c r="CP3">
        <v>1</v>
      </c>
      <c r="CQ3">
        <v>1</v>
      </c>
      <c r="CR3">
        <v>1</v>
      </c>
      <c r="CS3">
        <v>1</v>
      </c>
      <c r="CT3">
        <v>1</v>
      </c>
      <c r="CU3">
        <v>1</v>
      </c>
      <c r="CV3">
        <v>4</v>
      </c>
      <c r="CW3">
        <v>4</v>
      </c>
      <c r="CX3">
        <v>4</v>
      </c>
      <c r="CY3">
        <v>4</v>
      </c>
      <c r="CZ3">
        <v>4</v>
      </c>
      <c r="DA3">
        <v>4</v>
      </c>
      <c r="DB3">
        <v>4</v>
      </c>
      <c r="DC3">
        <v>4</v>
      </c>
      <c r="DD3">
        <v>4</v>
      </c>
      <c r="DE3">
        <v>2</v>
      </c>
      <c r="DF3">
        <v>2</v>
      </c>
      <c r="DG3">
        <v>2</v>
      </c>
      <c r="DH3">
        <v>2</v>
      </c>
      <c r="DI3">
        <v>2</v>
      </c>
      <c r="DJ3">
        <v>2</v>
      </c>
      <c r="DK3">
        <v>2</v>
      </c>
      <c r="DL3">
        <v>2</v>
      </c>
      <c r="DM3">
        <v>2</v>
      </c>
      <c r="DN3">
        <v>4</v>
      </c>
      <c r="DO3">
        <v>4</v>
      </c>
      <c r="DP3">
        <v>4</v>
      </c>
      <c r="DQ3">
        <v>4</v>
      </c>
      <c r="DR3">
        <v>4</v>
      </c>
      <c r="DS3">
        <v>4</v>
      </c>
      <c r="DT3">
        <v>4</v>
      </c>
      <c r="DU3">
        <v>4</v>
      </c>
      <c r="DV3">
        <v>4</v>
      </c>
      <c r="DW3">
        <v>2</v>
      </c>
      <c r="DX3">
        <v>2</v>
      </c>
      <c r="DY3">
        <v>2</v>
      </c>
      <c r="DZ3">
        <v>2</v>
      </c>
      <c r="EA3">
        <v>2</v>
      </c>
      <c r="EB3">
        <v>2</v>
      </c>
      <c r="EC3">
        <v>2</v>
      </c>
      <c r="ED3">
        <v>2</v>
      </c>
      <c r="EE3">
        <v>2</v>
      </c>
    </row>
    <row r="4" spans="1:135" x14ac:dyDescent="0.25">
      <c r="A4" t="s">
        <v>18</v>
      </c>
      <c r="B4">
        <v>0</v>
      </c>
      <c r="C4">
        <v>1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210</v>
      </c>
      <c r="N4">
        <v>3500000</v>
      </c>
      <c r="P4" t="s">
        <v>53</v>
      </c>
      <c r="Q4">
        <f>SUM($S$7:$EE$7)</f>
        <v>0</v>
      </c>
      <c r="R4" t="s">
        <v>41</v>
      </c>
      <c r="S4" t="s">
        <v>10</v>
      </c>
      <c r="T4" t="s">
        <v>8</v>
      </c>
      <c r="U4" t="s">
        <v>11</v>
      </c>
      <c r="V4" t="s">
        <v>13</v>
      </c>
      <c r="W4" t="s">
        <v>7</v>
      </c>
      <c r="X4" t="s">
        <v>12</v>
      </c>
      <c r="Y4" t="s">
        <v>14</v>
      </c>
      <c r="Z4" t="s">
        <v>15</v>
      </c>
      <c r="AA4" t="s">
        <v>9</v>
      </c>
      <c r="AB4" t="s">
        <v>10</v>
      </c>
      <c r="AC4" t="s">
        <v>8</v>
      </c>
      <c r="AD4" t="s">
        <v>11</v>
      </c>
      <c r="AE4" t="s">
        <v>13</v>
      </c>
      <c r="AF4" t="s">
        <v>7</v>
      </c>
      <c r="AG4" t="s">
        <v>12</v>
      </c>
      <c r="AH4" t="s">
        <v>14</v>
      </c>
      <c r="AI4" t="s">
        <v>15</v>
      </c>
      <c r="AJ4" t="s">
        <v>9</v>
      </c>
      <c r="AK4" t="s">
        <v>10</v>
      </c>
      <c r="AL4" t="s">
        <v>8</v>
      </c>
      <c r="AM4" t="s">
        <v>11</v>
      </c>
      <c r="AN4" t="s">
        <v>13</v>
      </c>
      <c r="AO4" t="s">
        <v>7</v>
      </c>
      <c r="AP4" t="s">
        <v>12</v>
      </c>
      <c r="AQ4" t="s">
        <v>14</v>
      </c>
      <c r="AR4" t="s">
        <v>15</v>
      </c>
      <c r="AS4" t="s">
        <v>9</v>
      </c>
      <c r="AT4" t="s">
        <v>10</v>
      </c>
      <c r="AU4" t="s">
        <v>8</v>
      </c>
      <c r="AV4" t="s">
        <v>11</v>
      </c>
      <c r="AW4" t="s">
        <v>13</v>
      </c>
      <c r="AX4" t="s">
        <v>7</v>
      </c>
      <c r="AY4" t="s">
        <v>12</v>
      </c>
      <c r="AZ4" t="s">
        <v>14</v>
      </c>
      <c r="BA4" t="s">
        <v>15</v>
      </c>
      <c r="BB4" t="s">
        <v>9</v>
      </c>
      <c r="BC4" t="s">
        <v>10</v>
      </c>
      <c r="BD4" t="s">
        <v>8</v>
      </c>
      <c r="BE4" t="s">
        <v>11</v>
      </c>
      <c r="BF4" t="s">
        <v>13</v>
      </c>
      <c r="BG4" t="s">
        <v>7</v>
      </c>
      <c r="BH4" t="s">
        <v>12</v>
      </c>
      <c r="BI4" t="s">
        <v>14</v>
      </c>
      <c r="BJ4" t="s">
        <v>15</v>
      </c>
      <c r="BK4" t="s">
        <v>9</v>
      </c>
      <c r="BL4" t="s">
        <v>10</v>
      </c>
      <c r="BM4" t="s">
        <v>8</v>
      </c>
      <c r="BN4" t="s">
        <v>11</v>
      </c>
      <c r="BO4" t="s">
        <v>13</v>
      </c>
      <c r="BP4" t="s">
        <v>7</v>
      </c>
      <c r="BQ4" t="s">
        <v>12</v>
      </c>
      <c r="BR4" t="s">
        <v>14</v>
      </c>
      <c r="BS4" t="s">
        <v>15</v>
      </c>
      <c r="BT4" t="s">
        <v>9</v>
      </c>
      <c r="BU4" t="s">
        <v>10</v>
      </c>
      <c r="BV4" t="s">
        <v>8</v>
      </c>
      <c r="BW4" t="s">
        <v>11</v>
      </c>
      <c r="BX4" t="s">
        <v>13</v>
      </c>
      <c r="BY4" t="s">
        <v>7</v>
      </c>
      <c r="BZ4" t="s">
        <v>12</v>
      </c>
      <c r="CA4" t="s">
        <v>14</v>
      </c>
      <c r="CB4" t="s">
        <v>15</v>
      </c>
      <c r="CC4" t="s">
        <v>9</v>
      </c>
      <c r="CD4" t="s">
        <v>10</v>
      </c>
      <c r="CE4" t="s">
        <v>8</v>
      </c>
      <c r="CF4" t="s">
        <v>11</v>
      </c>
      <c r="CG4" t="s">
        <v>13</v>
      </c>
      <c r="CH4" t="s">
        <v>7</v>
      </c>
      <c r="CI4" t="s">
        <v>12</v>
      </c>
      <c r="CJ4" t="s">
        <v>14</v>
      </c>
      <c r="CK4" t="s">
        <v>15</v>
      </c>
      <c r="CL4" t="s">
        <v>9</v>
      </c>
      <c r="CM4" t="s">
        <v>10</v>
      </c>
      <c r="CN4" t="s">
        <v>8</v>
      </c>
      <c r="CO4" t="s">
        <v>11</v>
      </c>
      <c r="CP4" t="s">
        <v>13</v>
      </c>
      <c r="CQ4" t="s">
        <v>7</v>
      </c>
      <c r="CR4" t="s">
        <v>12</v>
      </c>
      <c r="CS4" t="s">
        <v>14</v>
      </c>
      <c r="CT4" t="s">
        <v>15</v>
      </c>
      <c r="CU4" t="s">
        <v>9</v>
      </c>
      <c r="CV4" t="s">
        <v>10</v>
      </c>
      <c r="CW4" t="s">
        <v>8</v>
      </c>
      <c r="CX4" t="s">
        <v>11</v>
      </c>
      <c r="CY4" t="s">
        <v>13</v>
      </c>
      <c r="CZ4" t="s">
        <v>7</v>
      </c>
      <c r="DA4" t="s">
        <v>12</v>
      </c>
      <c r="DB4" t="s">
        <v>14</v>
      </c>
      <c r="DC4" t="s">
        <v>15</v>
      </c>
      <c r="DD4" t="s">
        <v>9</v>
      </c>
      <c r="DE4" t="s">
        <v>10</v>
      </c>
      <c r="DF4" t="s">
        <v>8</v>
      </c>
      <c r="DG4" t="s">
        <v>11</v>
      </c>
      <c r="DH4" t="s">
        <v>13</v>
      </c>
      <c r="DI4" t="s">
        <v>7</v>
      </c>
      <c r="DJ4" t="s">
        <v>12</v>
      </c>
      <c r="DK4" t="s">
        <v>14</v>
      </c>
      <c r="DL4" t="s">
        <v>15</v>
      </c>
      <c r="DM4" t="s">
        <v>9</v>
      </c>
      <c r="DN4" t="s">
        <v>10</v>
      </c>
      <c r="DO4" t="s">
        <v>8</v>
      </c>
      <c r="DP4" t="s">
        <v>11</v>
      </c>
      <c r="DQ4" t="s">
        <v>13</v>
      </c>
      <c r="DR4" t="s">
        <v>7</v>
      </c>
      <c r="DS4" t="s">
        <v>12</v>
      </c>
      <c r="DT4" t="s">
        <v>14</v>
      </c>
      <c r="DU4" t="s">
        <v>15</v>
      </c>
      <c r="DV4" t="s">
        <v>9</v>
      </c>
      <c r="DW4" t="s">
        <v>10</v>
      </c>
      <c r="DX4" t="s">
        <v>8</v>
      </c>
      <c r="DY4" t="s">
        <v>11</v>
      </c>
      <c r="DZ4" t="s">
        <v>13</v>
      </c>
      <c r="EA4" t="s">
        <v>7</v>
      </c>
      <c r="EB4" t="s">
        <v>12</v>
      </c>
      <c r="EC4" t="s">
        <v>14</v>
      </c>
      <c r="ED4" t="s">
        <v>15</v>
      </c>
      <c r="EE4" t="s">
        <v>9</v>
      </c>
    </row>
    <row r="5" spans="1:135" x14ac:dyDescent="0.25">
      <c r="A5" t="s">
        <v>19</v>
      </c>
      <c r="B5">
        <v>1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>
        <v>1</v>
      </c>
      <c r="J5">
        <v>0</v>
      </c>
      <c r="K5">
        <v>0</v>
      </c>
      <c r="L5">
        <v>0</v>
      </c>
      <c r="M5">
        <v>225</v>
      </c>
      <c r="N5">
        <v>3750000</v>
      </c>
      <c r="P5" t="s">
        <v>54</v>
      </c>
      <c r="Q5">
        <f>SUM($S$8:$EE$8)</f>
        <v>0</v>
      </c>
      <c r="R5" t="s">
        <v>42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</row>
    <row r="6" spans="1:135" x14ac:dyDescent="0.25">
      <c r="A6" t="s">
        <v>20</v>
      </c>
      <c r="B6">
        <v>1</v>
      </c>
      <c r="C6">
        <v>0</v>
      </c>
      <c r="D6">
        <v>0</v>
      </c>
      <c r="E6">
        <v>1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250</v>
      </c>
      <c r="N6">
        <v>3750000</v>
      </c>
      <c r="R6" t="s">
        <v>43</v>
      </c>
      <c r="S6">
        <f>$S$9*$S$5</f>
        <v>0</v>
      </c>
      <c r="T6">
        <f>$T$9*$T$5</f>
        <v>0</v>
      </c>
      <c r="U6">
        <f>$U$9*$U$5</f>
        <v>0</v>
      </c>
      <c r="V6">
        <f>$V$9*$V$5</f>
        <v>0</v>
      </c>
      <c r="W6">
        <f>$W$9*$W$5</f>
        <v>0</v>
      </c>
      <c r="X6">
        <f>$X$9*$X$5</f>
        <v>0</v>
      </c>
      <c r="Y6">
        <f>$Y$9*$Y$5</f>
        <v>0</v>
      </c>
      <c r="Z6">
        <f>$Z$9*$Z$5</f>
        <v>0</v>
      </c>
      <c r="AA6">
        <f>$AA$9*$AA$5</f>
        <v>0</v>
      </c>
      <c r="AB6">
        <f>$AB$9*$AB$5</f>
        <v>0</v>
      </c>
      <c r="AC6">
        <f>$AC$9*$AC$5</f>
        <v>0</v>
      </c>
      <c r="AD6">
        <f>$AD$9*$AD$5</f>
        <v>0</v>
      </c>
      <c r="AE6">
        <f>$AE$9*$AE$5</f>
        <v>0</v>
      </c>
      <c r="AF6">
        <f>$AF$9*$AF$5</f>
        <v>0</v>
      </c>
      <c r="AG6">
        <f>$AG$9*$AG$5</f>
        <v>0</v>
      </c>
      <c r="AH6">
        <f>$AH$9*$AH$5</f>
        <v>0</v>
      </c>
      <c r="AI6">
        <f>$AI$9*$AI$5</f>
        <v>0</v>
      </c>
      <c r="AJ6">
        <f>$AJ$9*$AJ$5</f>
        <v>0</v>
      </c>
      <c r="AK6">
        <f>$AK$9*$AK$5</f>
        <v>0</v>
      </c>
      <c r="AL6">
        <f>$AL$9*$AL$5</f>
        <v>0</v>
      </c>
      <c r="AM6">
        <f>$AM$9*$AM$5</f>
        <v>0</v>
      </c>
      <c r="AN6">
        <f>$AN$9*$AN$5</f>
        <v>0</v>
      </c>
      <c r="AO6">
        <f>$AO$9*$AO$5</f>
        <v>0</v>
      </c>
      <c r="AP6">
        <f>$AP$9*$AP$5</f>
        <v>0</v>
      </c>
      <c r="AQ6">
        <f>$AQ$9*$AQ$5</f>
        <v>0</v>
      </c>
      <c r="AR6">
        <f>$AR$9*$AR$5</f>
        <v>0</v>
      </c>
      <c r="AS6">
        <f>$AS$9*$AS$5</f>
        <v>0</v>
      </c>
      <c r="AT6">
        <f>$AT$9*$AT$5</f>
        <v>0</v>
      </c>
      <c r="AU6">
        <f>$AU$9*$AU$5</f>
        <v>0</v>
      </c>
      <c r="AV6">
        <f>$AV$9*$AV$5</f>
        <v>0</v>
      </c>
      <c r="AW6">
        <f>$AW$9*$AW$5</f>
        <v>0</v>
      </c>
      <c r="AX6">
        <f>$AX$9*$AX$5</f>
        <v>0</v>
      </c>
      <c r="AY6">
        <f>$AY$9*$AY$5</f>
        <v>0</v>
      </c>
      <c r="AZ6">
        <f>$AZ$9*$AZ$5</f>
        <v>0</v>
      </c>
      <c r="BA6">
        <f>$BA$9*$BA$5</f>
        <v>0</v>
      </c>
      <c r="BB6">
        <f>$BB$9*$BB$5</f>
        <v>0</v>
      </c>
      <c r="BC6">
        <f>$BC$9*$BC$5</f>
        <v>0</v>
      </c>
      <c r="BD6">
        <f>$BD$9*$BD$5</f>
        <v>0</v>
      </c>
      <c r="BE6">
        <f>$BE$9*$BE$5</f>
        <v>0</v>
      </c>
      <c r="BF6">
        <f>$BF$9*$BF$5</f>
        <v>0</v>
      </c>
      <c r="BG6">
        <f>$BG$9*$BG$5</f>
        <v>0</v>
      </c>
      <c r="BH6">
        <f>$BH$9*$BH$5</f>
        <v>0</v>
      </c>
      <c r="BI6">
        <f>$BI$9*$BI$5</f>
        <v>0</v>
      </c>
      <c r="BJ6">
        <f>$BJ$9*$BJ$5</f>
        <v>0</v>
      </c>
      <c r="BK6">
        <f>$BK$9*$BK$5</f>
        <v>0</v>
      </c>
      <c r="BL6">
        <f>$BL$9*$BL$5</f>
        <v>0</v>
      </c>
      <c r="BM6">
        <f>$BM$9*$BM$5</f>
        <v>0</v>
      </c>
      <c r="BN6">
        <f>$BN$9*$BN$5</f>
        <v>0</v>
      </c>
      <c r="BO6">
        <f>$BO$9*$BO$5</f>
        <v>0</v>
      </c>
      <c r="BP6">
        <f>$BP$9*$BP$5</f>
        <v>0</v>
      </c>
      <c r="BQ6">
        <f>$BQ$9*$BQ$5</f>
        <v>0</v>
      </c>
      <c r="BR6">
        <f>$BR$9*$BR$5</f>
        <v>0</v>
      </c>
      <c r="BS6">
        <f>$BS$9*$BS$5</f>
        <v>0</v>
      </c>
      <c r="BT6">
        <f>$BT$9*$BT$5</f>
        <v>0</v>
      </c>
      <c r="BU6">
        <f>$BU$9*$BU$5</f>
        <v>0</v>
      </c>
      <c r="BV6">
        <f>$BV$9*$BV$5</f>
        <v>0</v>
      </c>
      <c r="BW6">
        <f>$BW$9*$BW$5</f>
        <v>0</v>
      </c>
      <c r="BX6">
        <f>$BX$9*$BX$5</f>
        <v>0</v>
      </c>
      <c r="BY6">
        <f>$BY$9*$BY$5</f>
        <v>0</v>
      </c>
      <c r="BZ6">
        <f>$BZ$9*$BZ$5</f>
        <v>0</v>
      </c>
      <c r="CA6">
        <f>$CA$9*$CA$5</f>
        <v>0</v>
      </c>
      <c r="CB6">
        <f>$CB$9*$CB$5</f>
        <v>0</v>
      </c>
      <c r="CC6">
        <f>$CC$9*$CC$5</f>
        <v>0</v>
      </c>
      <c r="CD6">
        <f>$CD$9*$CD$5</f>
        <v>0</v>
      </c>
      <c r="CE6">
        <f>$CE$9*$CE$5</f>
        <v>0</v>
      </c>
      <c r="CF6">
        <f>$CF$9*$CF$5</f>
        <v>0</v>
      </c>
      <c r="CG6">
        <f>$CG$9*$CG$5</f>
        <v>0</v>
      </c>
      <c r="CH6">
        <f>$CH$9*$CH$5</f>
        <v>0</v>
      </c>
      <c r="CI6">
        <f>$CI$9*$CI$5</f>
        <v>0</v>
      </c>
      <c r="CJ6">
        <f>$CJ$9*$CJ$5</f>
        <v>0</v>
      </c>
      <c r="CK6">
        <f>$CK$9*$CK$5</f>
        <v>0</v>
      </c>
      <c r="CL6">
        <f>$CL$9*$CL$5</f>
        <v>0</v>
      </c>
      <c r="CM6">
        <f>$CM$9*$CM$5</f>
        <v>0</v>
      </c>
      <c r="CN6">
        <f>$CN$9*$CN$5</f>
        <v>0</v>
      </c>
      <c r="CO6">
        <f>$CO$9*$CO$5</f>
        <v>0</v>
      </c>
      <c r="CP6">
        <f>$CP$9*$CP$5</f>
        <v>0</v>
      </c>
      <c r="CQ6">
        <f>$CQ$9*$CQ$5</f>
        <v>0</v>
      </c>
      <c r="CR6">
        <f>$CR$9*$CR$5</f>
        <v>0</v>
      </c>
      <c r="CS6">
        <f>$CS$9*$CS$5</f>
        <v>0</v>
      </c>
      <c r="CT6">
        <f>$CT$9*$CT$5</f>
        <v>0</v>
      </c>
      <c r="CU6">
        <f>$CU$9*$CU$5</f>
        <v>0</v>
      </c>
      <c r="CV6">
        <f>$CV$9*$CV$5</f>
        <v>0</v>
      </c>
      <c r="CW6">
        <f>$CW$9*$CW$5</f>
        <v>0</v>
      </c>
      <c r="CX6">
        <f>$CX$9*$CX$5</f>
        <v>0</v>
      </c>
      <c r="CY6">
        <f>$CY$9*$CY$5</f>
        <v>0</v>
      </c>
      <c r="CZ6">
        <f>$CZ$9*$CZ$5</f>
        <v>0</v>
      </c>
      <c r="DA6">
        <f>$DA$9*$DA$5</f>
        <v>0</v>
      </c>
      <c r="DB6">
        <f>$DB$9*$DB$5</f>
        <v>0</v>
      </c>
      <c r="DC6">
        <f>$DC$9*$DC$5</f>
        <v>0</v>
      </c>
      <c r="DD6">
        <f>$DD$9*$DD$5</f>
        <v>0</v>
      </c>
      <c r="DE6">
        <f>$DE$9*$DE$5</f>
        <v>0</v>
      </c>
      <c r="DF6">
        <f>$DF$9*$DF$5</f>
        <v>0</v>
      </c>
      <c r="DG6">
        <f>$DG$9*$DG$5</f>
        <v>0</v>
      </c>
      <c r="DH6">
        <f>$DH$9*$DH$5</f>
        <v>0</v>
      </c>
      <c r="DI6">
        <f>$DI$9*$DI$5</f>
        <v>0</v>
      </c>
      <c r="DJ6">
        <f>$DJ$9*$DJ$5</f>
        <v>0</v>
      </c>
      <c r="DK6">
        <f>$DK$9*$DK$5</f>
        <v>0</v>
      </c>
      <c r="DL6">
        <f>$DL$9*$DL$5</f>
        <v>0</v>
      </c>
      <c r="DM6">
        <f>$DM$9*$DM$5</f>
        <v>0</v>
      </c>
      <c r="DN6">
        <f>$DN$9*$DN$5</f>
        <v>0</v>
      </c>
      <c r="DO6">
        <f>$DO$9*$DO$5</f>
        <v>0</v>
      </c>
      <c r="DP6">
        <f>$DP$9*$DP$5</f>
        <v>0</v>
      </c>
      <c r="DQ6">
        <f>$DQ$9*$DQ$5</f>
        <v>0</v>
      </c>
      <c r="DR6">
        <f>$DR$9*$DR$5</f>
        <v>0</v>
      </c>
      <c r="DS6">
        <f>$DS$9*$DS$5</f>
        <v>0</v>
      </c>
      <c r="DT6">
        <f>$DT$9*$DT$5</f>
        <v>0</v>
      </c>
      <c r="DU6">
        <f>$DU$9*$DU$5</f>
        <v>0</v>
      </c>
      <c r="DV6">
        <f>$DV$9*$DV$5</f>
        <v>0</v>
      </c>
      <c r="DW6">
        <f>$DW$9*$DW$5</f>
        <v>0</v>
      </c>
      <c r="DX6">
        <f>$DX$9*$DX$5</f>
        <v>0</v>
      </c>
      <c r="DY6">
        <f>$DY$9*$DY$5</f>
        <v>0</v>
      </c>
      <c r="DZ6">
        <f>$DZ$9*$DZ$5</f>
        <v>0</v>
      </c>
      <c r="EA6">
        <f>$EA$9*$EA$5</f>
        <v>0</v>
      </c>
      <c r="EB6">
        <f>$EB$9*$EB$5</f>
        <v>0</v>
      </c>
      <c r="EC6">
        <f>$EC$9*$EC$5</f>
        <v>0</v>
      </c>
      <c r="ED6">
        <f>$ED$9*$ED$5</f>
        <v>0</v>
      </c>
      <c r="EE6">
        <f>$EE$9*$EE$5</f>
        <v>0</v>
      </c>
    </row>
    <row r="7" spans="1:135" x14ac:dyDescent="0.25">
      <c r="A7" t="s">
        <v>21</v>
      </c>
      <c r="B7">
        <v>0</v>
      </c>
      <c r="C7">
        <v>0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150</v>
      </c>
      <c r="N7">
        <v>2500000</v>
      </c>
      <c r="R7" t="s">
        <v>44</v>
      </c>
      <c r="S7">
        <f>$S$10*$S$5</f>
        <v>0</v>
      </c>
      <c r="T7">
        <f>$T$10*$T$5</f>
        <v>0</v>
      </c>
      <c r="U7">
        <f>$U$10*$U$5</f>
        <v>0</v>
      </c>
      <c r="V7">
        <f>$V$10*$V$5</f>
        <v>0</v>
      </c>
      <c r="W7">
        <f>$W$10*$W$5</f>
        <v>0</v>
      </c>
      <c r="X7">
        <f>$X$10*$X$5</f>
        <v>0</v>
      </c>
      <c r="Y7">
        <f>$Y$10*$Y$5</f>
        <v>0</v>
      </c>
      <c r="Z7">
        <f>$Z$10*$Z$5</f>
        <v>0</v>
      </c>
      <c r="AA7">
        <f>$AA$10*$AA$5</f>
        <v>0</v>
      </c>
      <c r="AB7">
        <f>$AB$10*$AB$5</f>
        <v>0</v>
      </c>
      <c r="AC7">
        <f>$AC$10*$AC$5</f>
        <v>0</v>
      </c>
      <c r="AD7">
        <f>$AD$10*$AD$5</f>
        <v>0</v>
      </c>
      <c r="AE7">
        <f>$AE$10*$AE$5</f>
        <v>0</v>
      </c>
      <c r="AF7">
        <f>$AF$10*$AF$5</f>
        <v>0</v>
      </c>
      <c r="AG7">
        <f>$AG$10*$AG$5</f>
        <v>0</v>
      </c>
      <c r="AH7">
        <f>$AH$10*$AH$5</f>
        <v>0</v>
      </c>
      <c r="AI7">
        <f>$AI$10*$AI$5</f>
        <v>0</v>
      </c>
      <c r="AJ7">
        <f>$AJ$10*$AJ$5</f>
        <v>0</v>
      </c>
      <c r="AK7">
        <f>$AK$10*$AK$5</f>
        <v>0</v>
      </c>
      <c r="AL7">
        <f>$AL$10*$AL$5</f>
        <v>0</v>
      </c>
      <c r="AM7">
        <f>$AM$10*$AM$5</f>
        <v>0</v>
      </c>
      <c r="AN7">
        <f>$AN$10*$AN$5</f>
        <v>0</v>
      </c>
      <c r="AO7">
        <f>$AO$10*$AO$5</f>
        <v>0</v>
      </c>
      <c r="AP7">
        <f>$AP$10*$AP$5</f>
        <v>0</v>
      </c>
      <c r="AQ7">
        <f>$AQ$10*$AQ$5</f>
        <v>0</v>
      </c>
      <c r="AR7">
        <f>$AR$10*$AR$5</f>
        <v>0</v>
      </c>
      <c r="AS7">
        <f>$AS$10*$AS$5</f>
        <v>0</v>
      </c>
      <c r="AT7">
        <f>$AT$10*$AT$5</f>
        <v>0</v>
      </c>
      <c r="AU7">
        <f>$AU$10*$AU$5</f>
        <v>0</v>
      </c>
      <c r="AV7">
        <f>$AV$10*$AV$5</f>
        <v>0</v>
      </c>
      <c r="AW7">
        <f>$AW$10*$AW$5</f>
        <v>0</v>
      </c>
      <c r="AX7">
        <f>$AX$10*$AX$5</f>
        <v>0</v>
      </c>
      <c r="AY7">
        <f>$AY$10*$AY$5</f>
        <v>0</v>
      </c>
      <c r="AZ7">
        <f>$AZ$10*$AZ$5</f>
        <v>0</v>
      </c>
      <c r="BA7">
        <f>$BA$10*$BA$5</f>
        <v>0</v>
      </c>
      <c r="BB7">
        <f>$BB$10*$BB$5</f>
        <v>0</v>
      </c>
      <c r="BC7">
        <f>$BC$10*$BC$5</f>
        <v>0</v>
      </c>
      <c r="BD7">
        <f>$BD$10*$BD$5</f>
        <v>0</v>
      </c>
      <c r="BE7">
        <f>$BE$10*$BE$5</f>
        <v>0</v>
      </c>
      <c r="BF7">
        <f>$BF$10*$BF$5</f>
        <v>0</v>
      </c>
      <c r="BG7">
        <f>$BG$10*$BG$5</f>
        <v>0</v>
      </c>
      <c r="BH7">
        <f>$BH$10*$BH$5</f>
        <v>0</v>
      </c>
      <c r="BI7">
        <f>$BI$10*$BI$5</f>
        <v>0</v>
      </c>
      <c r="BJ7">
        <f>$BJ$10*$BJ$5</f>
        <v>0</v>
      </c>
      <c r="BK7">
        <f>$BK$10*$BK$5</f>
        <v>0</v>
      </c>
      <c r="BL7">
        <f>$BL$10*$BL$5</f>
        <v>0</v>
      </c>
      <c r="BM7">
        <f>$BM$10*$BM$5</f>
        <v>0</v>
      </c>
      <c r="BN7">
        <f>$BN$10*$BN$5</f>
        <v>0</v>
      </c>
      <c r="BO7">
        <f>$BO$10*$BO$5</f>
        <v>0</v>
      </c>
      <c r="BP7">
        <f>$BP$10*$BP$5</f>
        <v>0</v>
      </c>
      <c r="BQ7">
        <f>$BQ$10*$BQ$5</f>
        <v>0</v>
      </c>
      <c r="BR7">
        <f>$BR$10*$BR$5</f>
        <v>0</v>
      </c>
      <c r="BS7">
        <f>$BS$10*$BS$5</f>
        <v>0</v>
      </c>
      <c r="BT7">
        <f>$BT$10*$BT$5</f>
        <v>0</v>
      </c>
      <c r="BU7">
        <f>$BU$10*$BU$5</f>
        <v>0</v>
      </c>
      <c r="BV7">
        <f>$BV$10*$BV$5</f>
        <v>0</v>
      </c>
      <c r="BW7">
        <f>$BW$10*$BW$5</f>
        <v>0</v>
      </c>
      <c r="BX7">
        <f>$BX$10*$BX$5</f>
        <v>0</v>
      </c>
      <c r="BY7">
        <f>$BY$10*$BY$5</f>
        <v>0</v>
      </c>
      <c r="BZ7">
        <f>$BZ$10*$BZ$5</f>
        <v>0</v>
      </c>
      <c r="CA7">
        <f>$CA$10*$CA$5</f>
        <v>0</v>
      </c>
      <c r="CB7">
        <f>$CB$10*$CB$5</f>
        <v>0</v>
      </c>
      <c r="CC7">
        <f>$CC$10*$CC$5</f>
        <v>0</v>
      </c>
      <c r="CD7">
        <f>$CD$10*$CD$5</f>
        <v>0</v>
      </c>
      <c r="CE7">
        <f>$CE$10*$CE$5</f>
        <v>0</v>
      </c>
      <c r="CF7">
        <f>$CF$10*$CF$5</f>
        <v>0</v>
      </c>
      <c r="CG7">
        <f>$CG$10*$CG$5</f>
        <v>0</v>
      </c>
      <c r="CH7">
        <f>$CH$10*$CH$5</f>
        <v>0</v>
      </c>
      <c r="CI7">
        <f>$CI$10*$CI$5</f>
        <v>0</v>
      </c>
      <c r="CJ7">
        <f>$CJ$10*$CJ$5</f>
        <v>0</v>
      </c>
      <c r="CK7">
        <f>$CK$10*$CK$5</f>
        <v>0</v>
      </c>
      <c r="CL7">
        <f>$CL$10*$CL$5</f>
        <v>0</v>
      </c>
      <c r="CM7">
        <f>$CM$10*$CM$5</f>
        <v>0</v>
      </c>
      <c r="CN7">
        <f>$CN$10*$CN$5</f>
        <v>0</v>
      </c>
      <c r="CO7">
        <f>$CO$10*$CO$5</f>
        <v>0</v>
      </c>
      <c r="CP7">
        <f>$CP$10*$CP$5</f>
        <v>0</v>
      </c>
      <c r="CQ7">
        <f>$CQ$10*$CQ$5</f>
        <v>0</v>
      </c>
      <c r="CR7">
        <f>$CR$10*$CR$5</f>
        <v>0</v>
      </c>
      <c r="CS7">
        <f>$CS$10*$CS$5</f>
        <v>0</v>
      </c>
      <c r="CT7">
        <f>$CT$10*$CT$5</f>
        <v>0</v>
      </c>
      <c r="CU7">
        <f>$CU$10*$CU$5</f>
        <v>0</v>
      </c>
      <c r="CV7">
        <f>$CV$10*$CV$5</f>
        <v>0</v>
      </c>
      <c r="CW7">
        <f>$CW$10*$CW$5</f>
        <v>0</v>
      </c>
      <c r="CX7">
        <f>$CX$10*$CX$5</f>
        <v>0</v>
      </c>
      <c r="CY7">
        <f>$CY$10*$CY$5</f>
        <v>0</v>
      </c>
      <c r="CZ7">
        <f>$CZ$10*$CZ$5</f>
        <v>0</v>
      </c>
      <c r="DA7">
        <f>$DA$10*$DA$5</f>
        <v>0</v>
      </c>
      <c r="DB7">
        <f>$DB$10*$DB$5</f>
        <v>0</v>
      </c>
      <c r="DC7">
        <f>$DC$10*$DC$5</f>
        <v>0</v>
      </c>
      <c r="DD7">
        <f>$DD$10*$DD$5</f>
        <v>0</v>
      </c>
      <c r="DE7">
        <f>$DE$10*$DE$5</f>
        <v>0</v>
      </c>
      <c r="DF7">
        <f>$DF$10*$DF$5</f>
        <v>0</v>
      </c>
      <c r="DG7">
        <f>$DG$10*$DG$5</f>
        <v>0</v>
      </c>
      <c r="DH7">
        <f>$DH$10*$DH$5</f>
        <v>0</v>
      </c>
      <c r="DI7">
        <f>$DI$10*$DI$5</f>
        <v>0</v>
      </c>
      <c r="DJ7">
        <f>$DJ$10*$DJ$5</f>
        <v>0</v>
      </c>
      <c r="DK7">
        <f>$DK$10*$DK$5</f>
        <v>0</v>
      </c>
      <c r="DL7">
        <f>$DL$10*$DL$5</f>
        <v>0</v>
      </c>
      <c r="DM7">
        <f>$DM$10*$DM$5</f>
        <v>0</v>
      </c>
      <c r="DN7">
        <f>$DN$10*$DN$5</f>
        <v>0</v>
      </c>
      <c r="DO7">
        <f>$DO$10*$DO$5</f>
        <v>0</v>
      </c>
      <c r="DP7">
        <f>$DP$10*$DP$5</f>
        <v>0</v>
      </c>
      <c r="DQ7">
        <f>$DQ$10*$DQ$5</f>
        <v>0</v>
      </c>
      <c r="DR7">
        <f>$DR$10*$DR$5</f>
        <v>0</v>
      </c>
      <c r="DS7">
        <f>$DS$10*$DS$5</f>
        <v>0</v>
      </c>
      <c r="DT7">
        <f>$DT$10*$DT$5</f>
        <v>0</v>
      </c>
      <c r="DU7">
        <f>$DU$10*$DU$5</f>
        <v>0</v>
      </c>
      <c r="DV7">
        <f>$DV$10*$DV$5</f>
        <v>0</v>
      </c>
      <c r="DW7">
        <f>$DW$10*$DW$5</f>
        <v>0</v>
      </c>
      <c r="DX7">
        <f>$DX$10*$DX$5</f>
        <v>0</v>
      </c>
      <c r="DY7">
        <f>$DY$10*$DY$5</f>
        <v>0</v>
      </c>
      <c r="DZ7">
        <f>$DZ$10*$DZ$5</f>
        <v>0</v>
      </c>
      <c r="EA7">
        <f>$EA$10*$EA$5</f>
        <v>0</v>
      </c>
      <c r="EB7">
        <f>$EB$10*$EB$5</f>
        <v>0</v>
      </c>
      <c r="EC7">
        <f>$EC$10*$EC$5</f>
        <v>0</v>
      </c>
      <c r="ED7">
        <f>$ED$10*$ED$5</f>
        <v>0</v>
      </c>
      <c r="EE7">
        <f>$EE$10*$EE$5</f>
        <v>0</v>
      </c>
    </row>
    <row r="8" spans="1:135" x14ac:dyDescent="0.25">
      <c r="R8" t="s">
        <v>45</v>
      </c>
      <c r="S8">
        <f>$S$11*$S$5</f>
        <v>0</v>
      </c>
      <c r="T8">
        <f>$T$11*$T$5</f>
        <v>0</v>
      </c>
      <c r="U8">
        <f>$U$11*$U$5</f>
        <v>0</v>
      </c>
      <c r="V8">
        <f>$V$11*$V$5</f>
        <v>0</v>
      </c>
      <c r="W8">
        <f>$W$11*$W$5</f>
        <v>0</v>
      </c>
      <c r="X8">
        <f>$X$11*$X$5</f>
        <v>0</v>
      </c>
      <c r="Y8">
        <f>$Y$11*$Y$5</f>
        <v>0</v>
      </c>
      <c r="Z8">
        <f>$Z$11*$Z$5</f>
        <v>0</v>
      </c>
      <c r="AA8">
        <f>$AA$11*$AA$5</f>
        <v>0</v>
      </c>
      <c r="AB8">
        <f>$AB$11*$AB$5</f>
        <v>0</v>
      </c>
      <c r="AC8">
        <f>$AC$11*$AC$5</f>
        <v>0</v>
      </c>
      <c r="AD8">
        <f>$AD$11*$AD$5</f>
        <v>0</v>
      </c>
      <c r="AE8">
        <f>$AE$11*$AE$5</f>
        <v>0</v>
      </c>
      <c r="AF8">
        <f>$AF$11*$AF$5</f>
        <v>0</v>
      </c>
      <c r="AG8">
        <f>$AG$11*$AG$5</f>
        <v>0</v>
      </c>
      <c r="AH8">
        <f>$AH$11*$AH$5</f>
        <v>0</v>
      </c>
      <c r="AI8">
        <f>$AI$11*$AI$5</f>
        <v>0</v>
      </c>
      <c r="AJ8">
        <f>$AJ$11*$AJ$5</f>
        <v>0</v>
      </c>
      <c r="AK8">
        <f>$AK$11*$AK$5</f>
        <v>0</v>
      </c>
      <c r="AL8">
        <f>$AL$11*$AL$5</f>
        <v>0</v>
      </c>
      <c r="AM8">
        <f>$AM$11*$AM$5</f>
        <v>0</v>
      </c>
      <c r="AN8">
        <f>$AN$11*$AN$5</f>
        <v>0</v>
      </c>
      <c r="AO8">
        <f>$AO$11*$AO$5</f>
        <v>0</v>
      </c>
      <c r="AP8">
        <f>$AP$11*$AP$5</f>
        <v>0</v>
      </c>
      <c r="AQ8">
        <f>$AQ$11*$AQ$5</f>
        <v>0</v>
      </c>
      <c r="AR8">
        <f>$AR$11*$AR$5</f>
        <v>0</v>
      </c>
      <c r="AS8">
        <f>$AS$11*$AS$5</f>
        <v>0</v>
      </c>
      <c r="AT8">
        <f>$AT$11*$AT$5</f>
        <v>0</v>
      </c>
      <c r="AU8">
        <f>$AU$11*$AU$5</f>
        <v>0</v>
      </c>
      <c r="AV8">
        <f>$AV$11*$AV$5</f>
        <v>0</v>
      </c>
      <c r="AW8">
        <f>$AW$11*$AW$5</f>
        <v>0</v>
      </c>
      <c r="AX8">
        <f>$AX$11*$AX$5</f>
        <v>0</v>
      </c>
      <c r="AY8">
        <f>$AY$11*$AY$5</f>
        <v>0</v>
      </c>
      <c r="AZ8">
        <f>$AZ$11*$AZ$5</f>
        <v>0</v>
      </c>
      <c r="BA8">
        <f>$BA$11*$BA$5</f>
        <v>0</v>
      </c>
      <c r="BB8">
        <f>$BB$11*$BB$5</f>
        <v>0</v>
      </c>
      <c r="BC8">
        <f>$BC$11*$BC$5</f>
        <v>0</v>
      </c>
      <c r="BD8">
        <f>$BD$11*$BD$5</f>
        <v>0</v>
      </c>
      <c r="BE8">
        <f>$BE$11*$BE$5</f>
        <v>0</v>
      </c>
      <c r="BF8">
        <f>$BF$11*$BF$5</f>
        <v>0</v>
      </c>
      <c r="BG8">
        <f>$BG$11*$BG$5</f>
        <v>0</v>
      </c>
      <c r="BH8">
        <f>$BH$11*$BH$5</f>
        <v>0</v>
      </c>
      <c r="BI8">
        <f>$BI$11*$BI$5</f>
        <v>0</v>
      </c>
      <c r="BJ8">
        <f>$BJ$11*$BJ$5</f>
        <v>0</v>
      </c>
      <c r="BK8">
        <f>$BK$11*$BK$5</f>
        <v>0</v>
      </c>
      <c r="BL8">
        <f>$BL$11*$BL$5</f>
        <v>0</v>
      </c>
      <c r="BM8">
        <f>$BM$11*$BM$5</f>
        <v>0</v>
      </c>
      <c r="BN8">
        <f>$BN$11*$BN$5</f>
        <v>0</v>
      </c>
      <c r="BO8">
        <f>$BO$11*$BO$5</f>
        <v>0</v>
      </c>
      <c r="BP8">
        <f>$BP$11*$BP$5</f>
        <v>0</v>
      </c>
      <c r="BQ8">
        <f>$BQ$11*$BQ$5</f>
        <v>0</v>
      </c>
      <c r="BR8">
        <f>$BR$11*$BR$5</f>
        <v>0</v>
      </c>
      <c r="BS8">
        <f>$BS$11*$BS$5</f>
        <v>0</v>
      </c>
      <c r="BT8">
        <f>$BT$11*$BT$5</f>
        <v>0</v>
      </c>
      <c r="BU8">
        <f>$BU$11*$BU$5</f>
        <v>0</v>
      </c>
      <c r="BV8">
        <f>$BV$11*$BV$5</f>
        <v>0</v>
      </c>
      <c r="BW8">
        <f>$BW$11*$BW$5</f>
        <v>0</v>
      </c>
      <c r="BX8">
        <f>$BX$11*$BX$5</f>
        <v>0</v>
      </c>
      <c r="BY8">
        <f>$BY$11*$BY$5</f>
        <v>0</v>
      </c>
      <c r="BZ8">
        <f>$BZ$11*$BZ$5</f>
        <v>0</v>
      </c>
      <c r="CA8">
        <f>$CA$11*$CA$5</f>
        <v>0</v>
      </c>
      <c r="CB8">
        <f>$CB$11*$CB$5</f>
        <v>0</v>
      </c>
      <c r="CC8">
        <f>$CC$11*$CC$5</f>
        <v>0</v>
      </c>
      <c r="CD8">
        <f>$CD$11*$CD$5</f>
        <v>0</v>
      </c>
      <c r="CE8">
        <f>$CE$11*$CE$5</f>
        <v>0</v>
      </c>
      <c r="CF8">
        <f>$CF$11*$CF$5</f>
        <v>0</v>
      </c>
      <c r="CG8">
        <f>$CG$11*$CG$5</f>
        <v>0</v>
      </c>
      <c r="CH8">
        <f>$CH$11*$CH$5</f>
        <v>0</v>
      </c>
      <c r="CI8">
        <f>$CI$11*$CI$5</f>
        <v>0</v>
      </c>
      <c r="CJ8">
        <f>$CJ$11*$CJ$5</f>
        <v>0</v>
      </c>
      <c r="CK8">
        <f>$CK$11*$CK$5</f>
        <v>0</v>
      </c>
      <c r="CL8">
        <f>$CL$11*$CL$5</f>
        <v>0</v>
      </c>
      <c r="CM8">
        <f>$CM$11*$CM$5</f>
        <v>0</v>
      </c>
      <c r="CN8">
        <f>$CN$11*$CN$5</f>
        <v>0</v>
      </c>
      <c r="CO8">
        <f>$CO$11*$CO$5</f>
        <v>0</v>
      </c>
      <c r="CP8">
        <f>$CP$11*$CP$5</f>
        <v>0</v>
      </c>
      <c r="CQ8">
        <f>$CQ$11*$CQ$5</f>
        <v>0</v>
      </c>
      <c r="CR8">
        <f>$CR$11*$CR$5</f>
        <v>0</v>
      </c>
      <c r="CS8">
        <f>$CS$11*$CS$5</f>
        <v>0</v>
      </c>
      <c r="CT8">
        <f>$CT$11*$CT$5</f>
        <v>0</v>
      </c>
      <c r="CU8">
        <f>$CU$11*$CU$5</f>
        <v>0</v>
      </c>
      <c r="CV8">
        <f>$CV$11*$CV$5</f>
        <v>0</v>
      </c>
      <c r="CW8">
        <f>$CW$11*$CW$5</f>
        <v>0</v>
      </c>
      <c r="CX8">
        <f>$CX$11*$CX$5</f>
        <v>0</v>
      </c>
      <c r="CY8">
        <f>$CY$11*$CY$5</f>
        <v>0</v>
      </c>
      <c r="CZ8">
        <f>$CZ$11*$CZ$5</f>
        <v>0</v>
      </c>
      <c r="DA8">
        <f>$DA$11*$DA$5</f>
        <v>0</v>
      </c>
      <c r="DB8">
        <f>$DB$11*$DB$5</f>
        <v>0</v>
      </c>
      <c r="DC8">
        <f>$DC$11*$DC$5</f>
        <v>0</v>
      </c>
      <c r="DD8">
        <f>$DD$11*$DD$5</f>
        <v>0</v>
      </c>
      <c r="DE8">
        <f>$DE$11*$DE$5</f>
        <v>0</v>
      </c>
      <c r="DF8">
        <f>$DF$11*$DF$5</f>
        <v>0</v>
      </c>
      <c r="DG8">
        <f>$DG$11*$DG$5</f>
        <v>0</v>
      </c>
      <c r="DH8">
        <f>$DH$11*$DH$5</f>
        <v>0</v>
      </c>
      <c r="DI8">
        <f>$DI$11*$DI$5</f>
        <v>0</v>
      </c>
      <c r="DJ8">
        <f>$DJ$11*$DJ$5</f>
        <v>0</v>
      </c>
      <c r="DK8">
        <f>$DK$11*$DK$5</f>
        <v>0</v>
      </c>
      <c r="DL8">
        <f>$DL$11*$DL$5</f>
        <v>0</v>
      </c>
      <c r="DM8">
        <f>$DM$11*$DM$5</f>
        <v>0</v>
      </c>
      <c r="DN8">
        <f>$DN$11*$DN$5</f>
        <v>0</v>
      </c>
      <c r="DO8">
        <f>$DO$11*$DO$5</f>
        <v>0</v>
      </c>
      <c r="DP8">
        <f>$DP$11*$DP$5</f>
        <v>0</v>
      </c>
      <c r="DQ8">
        <f>$DQ$11*$DQ$5</f>
        <v>0</v>
      </c>
      <c r="DR8">
        <f>$DR$11*$DR$5</f>
        <v>0</v>
      </c>
      <c r="DS8">
        <f>$DS$11*$DS$5</f>
        <v>0</v>
      </c>
      <c r="DT8">
        <f>$DT$11*$DT$5</f>
        <v>0</v>
      </c>
      <c r="DU8">
        <f>$DU$11*$DU$5</f>
        <v>0</v>
      </c>
      <c r="DV8">
        <f>$DV$11*$DV$5</f>
        <v>0</v>
      </c>
      <c r="DW8">
        <f>$DW$11*$DW$5</f>
        <v>0</v>
      </c>
      <c r="DX8">
        <f>$DX$11*$DX$5</f>
        <v>0</v>
      </c>
      <c r="DY8">
        <f>$DY$11*$DY$5</f>
        <v>0</v>
      </c>
      <c r="DZ8">
        <f>$DZ$11*$DZ$5</f>
        <v>0</v>
      </c>
      <c r="EA8">
        <f>$EA$11*$EA$5</f>
        <v>0</v>
      </c>
      <c r="EB8">
        <f>$EB$11*$EB$5</f>
        <v>0</v>
      </c>
      <c r="EC8">
        <f>$EC$11*$EC$5</f>
        <v>0</v>
      </c>
      <c r="ED8">
        <f>$ED$11*$ED$5</f>
        <v>0</v>
      </c>
      <c r="EE8">
        <f>$EE$11*$EE$5</f>
        <v>0</v>
      </c>
    </row>
    <row r="9" spans="1:135" x14ac:dyDescent="0.25">
      <c r="R9" t="s">
        <v>46</v>
      </c>
      <c r="S9">
        <v>1152</v>
      </c>
      <c r="T9">
        <v>975</v>
      </c>
      <c r="U9">
        <v>924</v>
      </c>
      <c r="V9">
        <v>921</v>
      </c>
      <c r="W9">
        <v>1305</v>
      </c>
      <c r="X9">
        <v>981</v>
      </c>
      <c r="Y9">
        <v>927</v>
      </c>
      <c r="Z9">
        <v>906</v>
      </c>
      <c r="AA9">
        <v>906</v>
      </c>
      <c r="AB9">
        <v>1252</v>
      </c>
      <c r="AC9">
        <v>1075</v>
      </c>
      <c r="AD9">
        <v>1024</v>
      </c>
      <c r="AE9">
        <v>1021</v>
      </c>
      <c r="AF9">
        <v>1405</v>
      </c>
      <c r="AG9">
        <v>1081</v>
      </c>
      <c r="AH9">
        <v>1027</v>
      </c>
      <c r="AI9">
        <v>1006</v>
      </c>
      <c r="AJ9">
        <v>1006</v>
      </c>
      <c r="AK9">
        <v>1252</v>
      </c>
      <c r="AL9">
        <v>1075</v>
      </c>
      <c r="AM9">
        <v>1024</v>
      </c>
      <c r="AN9">
        <v>1021</v>
      </c>
      <c r="AO9">
        <v>1405</v>
      </c>
      <c r="AP9">
        <v>1081</v>
      </c>
      <c r="AQ9">
        <v>1027</v>
      </c>
      <c r="AR9">
        <v>1006</v>
      </c>
      <c r="AS9">
        <v>1006</v>
      </c>
      <c r="AT9">
        <v>1092</v>
      </c>
      <c r="AU9">
        <v>915</v>
      </c>
      <c r="AV9">
        <v>864</v>
      </c>
      <c r="AW9">
        <v>861</v>
      </c>
      <c r="AX9">
        <v>1245</v>
      </c>
      <c r="AY9">
        <v>921</v>
      </c>
      <c r="AZ9">
        <v>867</v>
      </c>
      <c r="BA9">
        <v>846</v>
      </c>
      <c r="BB9">
        <v>846</v>
      </c>
      <c r="BC9">
        <v>1052</v>
      </c>
      <c r="BD9">
        <v>875</v>
      </c>
      <c r="BE9">
        <v>824</v>
      </c>
      <c r="BF9">
        <v>821</v>
      </c>
      <c r="BG9">
        <v>1205</v>
      </c>
      <c r="BH9">
        <v>881</v>
      </c>
      <c r="BI9">
        <v>827</v>
      </c>
      <c r="BJ9">
        <v>806</v>
      </c>
      <c r="BK9">
        <v>806</v>
      </c>
      <c r="BL9">
        <v>1252</v>
      </c>
      <c r="BM9">
        <v>1075</v>
      </c>
      <c r="BN9">
        <v>1024</v>
      </c>
      <c r="BO9">
        <v>1021</v>
      </c>
      <c r="BP9">
        <v>1405</v>
      </c>
      <c r="BQ9">
        <v>1081</v>
      </c>
      <c r="BR9">
        <v>1027</v>
      </c>
      <c r="BS9">
        <v>1006</v>
      </c>
      <c r="BT9">
        <v>1006</v>
      </c>
      <c r="BU9">
        <v>1092</v>
      </c>
      <c r="BV9">
        <v>915</v>
      </c>
      <c r="BW9">
        <v>864</v>
      </c>
      <c r="BX9">
        <v>861</v>
      </c>
      <c r="BY9">
        <v>1245</v>
      </c>
      <c r="BZ9">
        <v>921</v>
      </c>
      <c r="CA9">
        <v>867</v>
      </c>
      <c r="CB9">
        <v>846</v>
      </c>
      <c r="CC9">
        <v>846</v>
      </c>
      <c r="CD9">
        <v>852</v>
      </c>
      <c r="CE9">
        <v>675</v>
      </c>
      <c r="CF9">
        <v>624</v>
      </c>
      <c r="CG9">
        <v>621</v>
      </c>
      <c r="CH9">
        <v>1005</v>
      </c>
      <c r="CI9">
        <v>681</v>
      </c>
      <c r="CJ9">
        <v>627</v>
      </c>
      <c r="CK9">
        <v>606</v>
      </c>
      <c r="CL9">
        <v>606</v>
      </c>
      <c r="CM9">
        <v>1252</v>
      </c>
      <c r="CN9">
        <v>1075</v>
      </c>
      <c r="CO9">
        <v>1024</v>
      </c>
      <c r="CP9">
        <v>1021</v>
      </c>
      <c r="CQ9">
        <v>1405</v>
      </c>
      <c r="CR9">
        <v>1081</v>
      </c>
      <c r="CS9">
        <v>1027</v>
      </c>
      <c r="CT9">
        <v>1006</v>
      </c>
      <c r="CU9">
        <v>1006</v>
      </c>
      <c r="CV9">
        <v>1152</v>
      </c>
      <c r="CW9">
        <v>975</v>
      </c>
      <c r="CX9">
        <v>924</v>
      </c>
      <c r="CY9">
        <v>921</v>
      </c>
      <c r="CZ9">
        <v>1305</v>
      </c>
      <c r="DA9">
        <v>981</v>
      </c>
      <c r="DB9">
        <v>927</v>
      </c>
      <c r="DC9">
        <v>906</v>
      </c>
      <c r="DD9">
        <v>906</v>
      </c>
      <c r="DE9">
        <v>526</v>
      </c>
      <c r="DF9">
        <v>437.5</v>
      </c>
      <c r="DG9">
        <v>412</v>
      </c>
      <c r="DH9">
        <v>410.5</v>
      </c>
      <c r="DI9">
        <v>602.5</v>
      </c>
      <c r="DJ9">
        <v>440.5</v>
      </c>
      <c r="DK9">
        <v>413.5</v>
      </c>
      <c r="DL9">
        <v>403</v>
      </c>
      <c r="DM9">
        <v>403</v>
      </c>
      <c r="DN9">
        <v>576</v>
      </c>
      <c r="DO9">
        <v>487.5</v>
      </c>
      <c r="DP9">
        <v>462</v>
      </c>
      <c r="DQ9">
        <v>460.5</v>
      </c>
      <c r="DR9">
        <v>652.5</v>
      </c>
      <c r="DS9">
        <v>490.5</v>
      </c>
      <c r="DT9">
        <v>463.5</v>
      </c>
      <c r="DU9">
        <v>453</v>
      </c>
      <c r="DV9">
        <v>453</v>
      </c>
      <c r="DW9">
        <v>526</v>
      </c>
      <c r="DX9">
        <v>437.5</v>
      </c>
      <c r="DY9">
        <v>412</v>
      </c>
      <c r="DZ9">
        <v>410.5</v>
      </c>
      <c r="EA9">
        <v>602.5</v>
      </c>
      <c r="EB9">
        <v>440.5</v>
      </c>
      <c r="EC9">
        <v>413.5</v>
      </c>
      <c r="ED9">
        <v>403</v>
      </c>
      <c r="EE9">
        <v>403</v>
      </c>
    </row>
    <row r="10" spans="1:135" x14ac:dyDescent="0.25">
      <c r="R10" t="s">
        <v>47</v>
      </c>
      <c r="S10">
        <v>126</v>
      </c>
      <c r="T10">
        <v>37.5</v>
      </c>
      <c r="U10">
        <v>12</v>
      </c>
      <c r="V10">
        <v>10.5</v>
      </c>
      <c r="W10">
        <v>202.5</v>
      </c>
      <c r="X10">
        <v>40.5</v>
      </c>
      <c r="Y10">
        <v>13.5</v>
      </c>
      <c r="Z10">
        <v>3</v>
      </c>
      <c r="AA10">
        <v>3</v>
      </c>
      <c r="AB10">
        <v>126</v>
      </c>
      <c r="AC10">
        <v>37.5</v>
      </c>
      <c r="AD10">
        <v>12</v>
      </c>
      <c r="AE10">
        <v>10.5</v>
      </c>
      <c r="AF10">
        <v>202.5</v>
      </c>
      <c r="AG10">
        <v>40.5</v>
      </c>
      <c r="AH10">
        <v>13.5</v>
      </c>
      <c r="AI10">
        <v>3</v>
      </c>
      <c r="AJ10">
        <v>3</v>
      </c>
      <c r="AK10">
        <v>126</v>
      </c>
      <c r="AL10">
        <v>37.5</v>
      </c>
      <c r="AM10">
        <v>12</v>
      </c>
      <c r="AN10">
        <v>10.5</v>
      </c>
      <c r="AO10">
        <v>202.5</v>
      </c>
      <c r="AP10">
        <v>40.5</v>
      </c>
      <c r="AQ10">
        <v>13.5</v>
      </c>
      <c r="AR10">
        <v>3</v>
      </c>
      <c r="AS10">
        <v>3</v>
      </c>
      <c r="AT10">
        <v>126</v>
      </c>
      <c r="AU10">
        <v>37.5</v>
      </c>
      <c r="AV10">
        <v>12</v>
      </c>
      <c r="AW10">
        <v>10.5</v>
      </c>
      <c r="AX10">
        <v>202.5</v>
      </c>
      <c r="AY10">
        <v>40.5</v>
      </c>
      <c r="AZ10">
        <v>13.5</v>
      </c>
      <c r="BA10">
        <v>3</v>
      </c>
      <c r="BB10">
        <v>3</v>
      </c>
      <c r="BC10">
        <v>126</v>
      </c>
      <c r="BD10">
        <v>37.5</v>
      </c>
      <c r="BE10">
        <v>12</v>
      </c>
      <c r="BF10">
        <v>10.5</v>
      </c>
      <c r="BG10">
        <v>202.5</v>
      </c>
      <c r="BH10">
        <v>40.5</v>
      </c>
      <c r="BI10">
        <v>13.5</v>
      </c>
      <c r="BJ10">
        <v>3</v>
      </c>
      <c r="BK10">
        <v>3</v>
      </c>
      <c r="BL10">
        <v>126</v>
      </c>
      <c r="BM10">
        <v>37.5</v>
      </c>
      <c r="BN10">
        <v>12</v>
      </c>
      <c r="BO10">
        <v>10.5</v>
      </c>
      <c r="BP10">
        <v>202.5</v>
      </c>
      <c r="BQ10">
        <v>40.5</v>
      </c>
      <c r="BR10">
        <v>13.5</v>
      </c>
      <c r="BS10">
        <v>3</v>
      </c>
      <c r="BT10">
        <v>3</v>
      </c>
      <c r="BU10">
        <v>126</v>
      </c>
      <c r="BV10">
        <v>37.5</v>
      </c>
      <c r="BW10">
        <v>12</v>
      </c>
      <c r="BX10">
        <v>10.5</v>
      </c>
      <c r="BY10">
        <v>202.5</v>
      </c>
      <c r="BZ10">
        <v>40.5</v>
      </c>
      <c r="CA10">
        <v>13.5</v>
      </c>
      <c r="CB10">
        <v>3</v>
      </c>
      <c r="CC10">
        <v>3</v>
      </c>
      <c r="CD10">
        <v>126</v>
      </c>
      <c r="CE10">
        <v>37.5</v>
      </c>
      <c r="CF10">
        <v>12</v>
      </c>
      <c r="CG10">
        <v>10.5</v>
      </c>
      <c r="CH10">
        <v>202.5</v>
      </c>
      <c r="CI10">
        <v>40.5</v>
      </c>
      <c r="CJ10">
        <v>13.5</v>
      </c>
      <c r="CK10">
        <v>3</v>
      </c>
      <c r="CL10">
        <v>3</v>
      </c>
      <c r="CM10">
        <v>126</v>
      </c>
      <c r="CN10">
        <v>37.5</v>
      </c>
      <c r="CO10">
        <v>12</v>
      </c>
      <c r="CP10">
        <v>10.5</v>
      </c>
      <c r="CQ10">
        <v>202.5</v>
      </c>
      <c r="CR10">
        <v>40.5</v>
      </c>
      <c r="CS10">
        <v>13.5</v>
      </c>
      <c r="CT10">
        <v>3</v>
      </c>
      <c r="CU10">
        <v>3</v>
      </c>
      <c r="CV10">
        <v>126</v>
      </c>
      <c r="CW10">
        <v>37.5</v>
      </c>
      <c r="CX10">
        <v>12</v>
      </c>
      <c r="CY10">
        <v>10.5</v>
      </c>
      <c r="CZ10">
        <v>202.5</v>
      </c>
      <c r="DA10">
        <v>40.5</v>
      </c>
      <c r="DB10">
        <v>13.5</v>
      </c>
      <c r="DC10">
        <v>3</v>
      </c>
      <c r="DD10">
        <v>3</v>
      </c>
      <c r="DE10">
        <v>126</v>
      </c>
      <c r="DF10">
        <v>37.5</v>
      </c>
      <c r="DG10">
        <v>12</v>
      </c>
      <c r="DH10">
        <v>10.5</v>
      </c>
      <c r="DI10">
        <v>202.5</v>
      </c>
      <c r="DJ10">
        <v>40.5</v>
      </c>
      <c r="DK10">
        <v>13.5</v>
      </c>
      <c r="DL10">
        <v>3</v>
      </c>
      <c r="DM10">
        <v>3</v>
      </c>
      <c r="DN10">
        <v>126</v>
      </c>
      <c r="DO10">
        <v>37.5</v>
      </c>
      <c r="DP10">
        <v>12</v>
      </c>
      <c r="DQ10">
        <v>10.5</v>
      </c>
      <c r="DR10">
        <v>202.5</v>
      </c>
      <c r="DS10">
        <v>40.5</v>
      </c>
      <c r="DT10">
        <v>13.5</v>
      </c>
      <c r="DU10">
        <v>3</v>
      </c>
      <c r="DV10">
        <v>3</v>
      </c>
      <c r="DW10">
        <v>126</v>
      </c>
      <c r="DX10">
        <v>37.5</v>
      </c>
      <c r="DY10">
        <v>12</v>
      </c>
      <c r="DZ10">
        <v>10.5</v>
      </c>
      <c r="EA10">
        <v>202.5</v>
      </c>
      <c r="EB10">
        <v>40.5</v>
      </c>
      <c r="EC10">
        <v>13.5</v>
      </c>
      <c r="ED10">
        <v>3</v>
      </c>
      <c r="EE10">
        <v>3</v>
      </c>
    </row>
    <row r="11" spans="1:135" x14ac:dyDescent="0.25">
      <c r="R11" t="s">
        <v>48</v>
      </c>
      <c r="S11">
        <v>450</v>
      </c>
      <c r="T11">
        <v>450</v>
      </c>
      <c r="U11">
        <v>450</v>
      </c>
      <c r="V11">
        <v>450</v>
      </c>
      <c r="W11">
        <v>450</v>
      </c>
      <c r="X11">
        <v>450</v>
      </c>
      <c r="Y11">
        <v>450</v>
      </c>
      <c r="Z11">
        <v>450</v>
      </c>
      <c r="AA11">
        <v>450</v>
      </c>
      <c r="AB11">
        <v>500</v>
      </c>
      <c r="AC11">
        <v>500</v>
      </c>
      <c r="AD11">
        <v>500</v>
      </c>
      <c r="AE11">
        <v>500</v>
      </c>
      <c r="AF11">
        <v>500</v>
      </c>
      <c r="AG11">
        <v>500</v>
      </c>
      <c r="AH11">
        <v>500</v>
      </c>
      <c r="AI11">
        <v>500</v>
      </c>
      <c r="AJ11">
        <v>500</v>
      </c>
      <c r="AK11">
        <v>500</v>
      </c>
      <c r="AL11">
        <v>500</v>
      </c>
      <c r="AM11">
        <v>500</v>
      </c>
      <c r="AN11">
        <v>500</v>
      </c>
      <c r="AO11">
        <v>500</v>
      </c>
      <c r="AP11">
        <v>500</v>
      </c>
      <c r="AQ11">
        <v>500</v>
      </c>
      <c r="AR11">
        <v>500</v>
      </c>
      <c r="AS11">
        <v>500</v>
      </c>
      <c r="AT11">
        <v>420</v>
      </c>
      <c r="AU11">
        <v>420</v>
      </c>
      <c r="AV11">
        <v>420</v>
      </c>
      <c r="AW11">
        <v>420</v>
      </c>
      <c r="AX11">
        <v>420</v>
      </c>
      <c r="AY11">
        <v>420</v>
      </c>
      <c r="AZ11">
        <v>420</v>
      </c>
      <c r="BA11">
        <v>420</v>
      </c>
      <c r="BB11">
        <v>420</v>
      </c>
      <c r="BC11">
        <v>400</v>
      </c>
      <c r="BD11">
        <v>400</v>
      </c>
      <c r="BE11">
        <v>400</v>
      </c>
      <c r="BF11">
        <v>400</v>
      </c>
      <c r="BG11">
        <v>400</v>
      </c>
      <c r="BH11">
        <v>400</v>
      </c>
      <c r="BI11">
        <v>400</v>
      </c>
      <c r="BJ11">
        <v>400</v>
      </c>
      <c r="BK11">
        <v>400</v>
      </c>
      <c r="BL11">
        <v>500</v>
      </c>
      <c r="BM11">
        <v>500</v>
      </c>
      <c r="BN11">
        <v>500</v>
      </c>
      <c r="BO11">
        <v>500</v>
      </c>
      <c r="BP11">
        <v>500</v>
      </c>
      <c r="BQ11">
        <v>500</v>
      </c>
      <c r="BR11">
        <v>500</v>
      </c>
      <c r="BS11">
        <v>500</v>
      </c>
      <c r="BT11">
        <v>500</v>
      </c>
      <c r="BU11">
        <v>420</v>
      </c>
      <c r="BV11">
        <v>420</v>
      </c>
      <c r="BW11">
        <v>420</v>
      </c>
      <c r="BX11">
        <v>420</v>
      </c>
      <c r="BY11">
        <v>420</v>
      </c>
      <c r="BZ11">
        <v>420</v>
      </c>
      <c r="CA11">
        <v>420</v>
      </c>
      <c r="CB11">
        <v>420</v>
      </c>
      <c r="CC11">
        <v>420</v>
      </c>
      <c r="CD11">
        <v>300</v>
      </c>
      <c r="CE11">
        <v>300</v>
      </c>
      <c r="CF11">
        <v>300</v>
      </c>
      <c r="CG11">
        <v>300</v>
      </c>
      <c r="CH11">
        <v>300</v>
      </c>
      <c r="CI11">
        <v>300</v>
      </c>
      <c r="CJ11">
        <v>300</v>
      </c>
      <c r="CK11">
        <v>300</v>
      </c>
      <c r="CL11">
        <v>300</v>
      </c>
      <c r="CM11">
        <v>500</v>
      </c>
      <c r="CN11">
        <v>500</v>
      </c>
      <c r="CO11">
        <v>500</v>
      </c>
      <c r="CP11">
        <v>500</v>
      </c>
      <c r="CQ11">
        <v>500</v>
      </c>
      <c r="CR11">
        <v>500</v>
      </c>
      <c r="CS11">
        <v>500</v>
      </c>
      <c r="CT11">
        <v>500</v>
      </c>
      <c r="CU11">
        <v>500</v>
      </c>
      <c r="CV11">
        <v>450</v>
      </c>
      <c r="CW11">
        <v>450</v>
      </c>
      <c r="CX11">
        <v>450</v>
      </c>
      <c r="CY11">
        <v>450</v>
      </c>
      <c r="CZ11">
        <v>450</v>
      </c>
      <c r="DA11">
        <v>450</v>
      </c>
      <c r="DB11">
        <v>450</v>
      </c>
      <c r="DC11">
        <v>450</v>
      </c>
      <c r="DD11">
        <v>450</v>
      </c>
      <c r="DE11">
        <v>400</v>
      </c>
      <c r="DF11">
        <v>400</v>
      </c>
      <c r="DG11">
        <v>400</v>
      </c>
      <c r="DH11">
        <v>400</v>
      </c>
      <c r="DI11">
        <v>400</v>
      </c>
      <c r="DJ11">
        <v>400</v>
      </c>
      <c r="DK11">
        <v>400</v>
      </c>
      <c r="DL11">
        <v>400</v>
      </c>
      <c r="DM11">
        <v>400</v>
      </c>
      <c r="DN11">
        <v>450</v>
      </c>
      <c r="DO11">
        <v>450</v>
      </c>
      <c r="DP11">
        <v>450</v>
      </c>
      <c r="DQ11">
        <v>450</v>
      </c>
      <c r="DR11">
        <v>450</v>
      </c>
      <c r="DS11">
        <v>450</v>
      </c>
      <c r="DT11">
        <v>450</v>
      </c>
      <c r="DU11">
        <v>450</v>
      </c>
      <c r="DV11">
        <v>450</v>
      </c>
      <c r="DW11">
        <v>400</v>
      </c>
      <c r="DX11">
        <v>400</v>
      </c>
      <c r="DY11">
        <v>400</v>
      </c>
      <c r="DZ11">
        <v>400</v>
      </c>
      <c r="EA11">
        <v>400</v>
      </c>
      <c r="EB11">
        <v>400</v>
      </c>
      <c r="EC11">
        <v>400</v>
      </c>
      <c r="ED11">
        <v>400</v>
      </c>
      <c r="EE11">
        <v>400</v>
      </c>
    </row>
    <row r="12" spans="1:135" x14ac:dyDescent="0.25">
      <c r="R12" t="s">
        <v>49</v>
      </c>
      <c r="S12">
        <v>225</v>
      </c>
      <c r="T12">
        <v>225</v>
      </c>
      <c r="U12">
        <v>225</v>
      </c>
      <c r="V12">
        <v>225</v>
      </c>
      <c r="W12">
        <v>225</v>
      </c>
      <c r="X12">
        <v>225</v>
      </c>
      <c r="Y12">
        <v>225</v>
      </c>
      <c r="Z12">
        <v>225</v>
      </c>
      <c r="AA12">
        <v>225</v>
      </c>
      <c r="AB12">
        <v>250</v>
      </c>
      <c r="AC12">
        <v>250</v>
      </c>
      <c r="AD12">
        <v>250</v>
      </c>
      <c r="AE12">
        <v>250</v>
      </c>
      <c r="AF12">
        <v>250</v>
      </c>
      <c r="AG12">
        <v>250</v>
      </c>
      <c r="AH12">
        <v>250</v>
      </c>
      <c r="AI12">
        <v>250</v>
      </c>
      <c r="AJ12">
        <v>250</v>
      </c>
      <c r="AK12">
        <v>250</v>
      </c>
      <c r="AL12">
        <v>250</v>
      </c>
      <c r="AM12">
        <v>250</v>
      </c>
      <c r="AN12">
        <v>250</v>
      </c>
      <c r="AO12">
        <v>250</v>
      </c>
      <c r="AP12">
        <v>250</v>
      </c>
      <c r="AQ12">
        <v>250</v>
      </c>
      <c r="AR12">
        <v>250</v>
      </c>
      <c r="AS12">
        <v>250</v>
      </c>
      <c r="AT12">
        <v>210</v>
      </c>
      <c r="AU12">
        <v>210</v>
      </c>
      <c r="AV12">
        <v>210</v>
      </c>
      <c r="AW12">
        <v>210</v>
      </c>
      <c r="AX12">
        <v>210</v>
      </c>
      <c r="AY12">
        <v>210</v>
      </c>
      <c r="AZ12">
        <v>210</v>
      </c>
      <c r="BA12">
        <v>210</v>
      </c>
      <c r="BB12">
        <v>210</v>
      </c>
      <c r="BC12">
        <v>200</v>
      </c>
      <c r="BD12">
        <v>200</v>
      </c>
      <c r="BE12">
        <v>200</v>
      </c>
      <c r="BF12">
        <v>200</v>
      </c>
      <c r="BG12">
        <v>200</v>
      </c>
      <c r="BH12">
        <v>200</v>
      </c>
      <c r="BI12">
        <v>200</v>
      </c>
      <c r="BJ12">
        <v>200</v>
      </c>
      <c r="BK12">
        <v>200</v>
      </c>
      <c r="BL12">
        <v>250</v>
      </c>
      <c r="BM12">
        <v>250</v>
      </c>
      <c r="BN12">
        <v>250</v>
      </c>
      <c r="BO12">
        <v>250</v>
      </c>
      <c r="BP12">
        <v>250</v>
      </c>
      <c r="BQ12">
        <v>250</v>
      </c>
      <c r="BR12">
        <v>250</v>
      </c>
      <c r="BS12">
        <v>250</v>
      </c>
      <c r="BT12">
        <v>250</v>
      </c>
      <c r="BU12">
        <v>210</v>
      </c>
      <c r="BV12">
        <v>210</v>
      </c>
      <c r="BW12">
        <v>210</v>
      </c>
      <c r="BX12">
        <v>210</v>
      </c>
      <c r="BY12">
        <v>210</v>
      </c>
      <c r="BZ12">
        <v>210</v>
      </c>
      <c r="CA12">
        <v>210</v>
      </c>
      <c r="CB12">
        <v>210</v>
      </c>
      <c r="CC12">
        <v>210</v>
      </c>
      <c r="CD12">
        <v>150</v>
      </c>
      <c r="CE12">
        <v>150</v>
      </c>
      <c r="CF12">
        <v>150</v>
      </c>
      <c r="CG12">
        <v>150</v>
      </c>
      <c r="CH12">
        <v>150</v>
      </c>
      <c r="CI12">
        <v>150</v>
      </c>
      <c r="CJ12">
        <v>150</v>
      </c>
      <c r="CK12">
        <v>150</v>
      </c>
      <c r="CL12">
        <v>150</v>
      </c>
      <c r="CM12">
        <v>250</v>
      </c>
      <c r="CN12">
        <v>250</v>
      </c>
      <c r="CO12">
        <v>250</v>
      </c>
      <c r="CP12">
        <v>250</v>
      </c>
      <c r="CQ12">
        <v>250</v>
      </c>
      <c r="CR12">
        <v>250</v>
      </c>
      <c r="CS12">
        <v>250</v>
      </c>
      <c r="CT12">
        <v>250</v>
      </c>
      <c r="CU12">
        <v>250</v>
      </c>
      <c r="CV12">
        <v>225</v>
      </c>
      <c r="CW12">
        <v>225</v>
      </c>
      <c r="CX12">
        <v>225</v>
      </c>
      <c r="CY12">
        <v>225</v>
      </c>
      <c r="CZ12">
        <v>225</v>
      </c>
      <c r="DA12">
        <v>225</v>
      </c>
      <c r="DB12">
        <v>225</v>
      </c>
      <c r="DC12">
        <v>225</v>
      </c>
      <c r="DD12">
        <v>225</v>
      </c>
      <c r="DE12">
        <v>200</v>
      </c>
      <c r="DF12">
        <v>200</v>
      </c>
      <c r="DG12">
        <v>200</v>
      </c>
      <c r="DH12">
        <v>200</v>
      </c>
      <c r="DI12">
        <v>200</v>
      </c>
      <c r="DJ12">
        <v>200</v>
      </c>
      <c r="DK12">
        <v>200</v>
      </c>
      <c r="DL12">
        <v>200</v>
      </c>
      <c r="DM12">
        <v>200</v>
      </c>
      <c r="DN12">
        <v>225</v>
      </c>
      <c r="DO12">
        <v>225</v>
      </c>
      <c r="DP12">
        <v>225</v>
      </c>
      <c r="DQ12">
        <v>225</v>
      </c>
      <c r="DR12">
        <v>225</v>
      </c>
      <c r="DS12">
        <v>225</v>
      </c>
      <c r="DT12">
        <v>225</v>
      </c>
      <c r="DU12">
        <v>225</v>
      </c>
      <c r="DV12">
        <v>225</v>
      </c>
      <c r="DW12">
        <v>200</v>
      </c>
      <c r="DX12">
        <v>200</v>
      </c>
      <c r="DY12">
        <v>200</v>
      </c>
      <c r="DZ12">
        <v>200</v>
      </c>
      <c r="EA12">
        <v>200</v>
      </c>
      <c r="EB12">
        <v>200</v>
      </c>
      <c r="EC12">
        <v>200</v>
      </c>
      <c r="ED12">
        <v>200</v>
      </c>
      <c r="EE12">
        <v>200</v>
      </c>
    </row>
    <row r="13" spans="1:135" x14ac:dyDescent="0.25">
      <c r="R13" t="s">
        <v>50</v>
      </c>
      <c r="S13">
        <v>3750000</v>
      </c>
      <c r="T13">
        <v>3750000</v>
      </c>
      <c r="U13">
        <v>3750000</v>
      </c>
      <c r="V13">
        <v>3750000</v>
      </c>
      <c r="W13">
        <v>3750000</v>
      </c>
      <c r="X13">
        <v>3750000</v>
      </c>
      <c r="Y13">
        <v>3750000</v>
      </c>
      <c r="Z13">
        <v>3750000</v>
      </c>
      <c r="AA13">
        <v>3750000</v>
      </c>
      <c r="AB13">
        <v>3750000</v>
      </c>
      <c r="AC13">
        <v>3750000</v>
      </c>
      <c r="AD13">
        <v>3750000</v>
      </c>
      <c r="AE13">
        <v>3750000</v>
      </c>
      <c r="AF13">
        <v>3750000</v>
      </c>
      <c r="AG13">
        <v>3750000</v>
      </c>
      <c r="AH13">
        <v>3750000</v>
      </c>
      <c r="AI13">
        <v>3750000</v>
      </c>
      <c r="AJ13">
        <v>3750000</v>
      </c>
      <c r="AK13">
        <v>4000000</v>
      </c>
      <c r="AL13">
        <v>4000000</v>
      </c>
      <c r="AM13">
        <v>4000000</v>
      </c>
      <c r="AN13">
        <v>4000000</v>
      </c>
      <c r="AO13">
        <v>4000000</v>
      </c>
      <c r="AP13">
        <v>4000000</v>
      </c>
      <c r="AQ13">
        <v>4000000</v>
      </c>
      <c r="AR13">
        <v>4000000</v>
      </c>
      <c r="AS13">
        <v>4000000</v>
      </c>
      <c r="AT13">
        <v>3500000</v>
      </c>
      <c r="AU13">
        <v>3500000</v>
      </c>
      <c r="AV13">
        <v>3500000</v>
      </c>
      <c r="AW13">
        <v>3500000</v>
      </c>
      <c r="AX13">
        <v>3500000</v>
      </c>
      <c r="AY13">
        <v>3500000</v>
      </c>
      <c r="AZ13">
        <v>3500000</v>
      </c>
      <c r="BA13">
        <v>3500000</v>
      </c>
      <c r="BB13">
        <v>3500000</v>
      </c>
      <c r="BC13">
        <v>3000000</v>
      </c>
      <c r="BD13">
        <v>3000000</v>
      </c>
      <c r="BE13">
        <v>3000000</v>
      </c>
      <c r="BF13">
        <v>3000000</v>
      </c>
      <c r="BG13">
        <v>3000000</v>
      </c>
      <c r="BH13">
        <v>3000000</v>
      </c>
      <c r="BI13">
        <v>3000000</v>
      </c>
      <c r="BJ13">
        <v>3000000</v>
      </c>
      <c r="BK13">
        <v>3000000</v>
      </c>
      <c r="BL13">
        <v>3750000</v>
      </c>
      <c r="BM13">
        <v>3750000</v>
      </c>
      <c r="BN13">
        <v>3750000</v>
      </c>
      <c r="BO13">
        <v>3750000</v>
      </c>
      <c r="BP13">
        <v>3750000</v>
      </c>
      <c r="BQ13">
        <v>3750000</v>
      </c>
      <c r="BR13">
        <v>3750000</v>
      </c>
      <c r="BS13">
        <v>3750000</v>
      </c>
      <c r="BT13">
        <v>3750000</v>
      </c>
      <c r="BU13">
        <v>3500000</v>
      </c>
      <c r="BV13">
        <v>3500000</v>
      </c>
      <c r="BW13">
        <v>3500000</v>
      </c>
      <c r="BX13">
        <v>3500000</v>
      </c>
      <c r="BY13">
        <v>3500000</v>
      </c>
      <c r="BZ13">
        <v>3500000</v>
      </c>
      <c r="CA13">
        <v>3500000</v>
      </c>
      <c r="CB13">
        <v>3500000</v>
      </c>
      <c r="CC13">
        <v>3500000</v>
      </c>
      <c r="CD13">
        <v>2500000</v>
      </c>
      <c r="CE13">
        <v>2500000</v>
      </c>
      <c r="CF13">
        <v>2500000</v>
      </c>
      <c r="CG13">
        <v>2500000</v>
      </c>
      <c r="CH13">
        <v>2500000</v>
      </c>
      <c r="CI13">
        <v>2500000</v>
      </c>
      <c r="CJ13">
        <v>2500000</v>
      </c>
      <c r="CK13">
        <v>2500000</v>
      </c>
      <c r="CL13">
        <v>2500000</v>
      </c>
      <c r="CM13">
        <v>4000000</v>
      </c>
      <c r="CN13">
        <v>4000000</v>
      </c>
      <c r="CO13">
        <v>4000000</v>
      </c>
      <c r="CP13">
        <v>4000000</v>
      </c>
      <c r="CQ13">
        <v>4000000</v>
      </c>
      <c r="CR13">
        <v>4000000</v>
      </c>
      <c r="CS13">
        <v>4000000</v>
      </c>
      <c r="CT13">
        <v>4000000</v>
      </c>
      <c r="CU13">
        <v>4000000</v>
      </c>
      <c r="CV13">
        <v>3750000</v>
      </c>
      <c r="CW13">
        <v>3750000</v>
      </c>
      <c r="CX13">
        <v>3750000</v>
      </c>
      <c r="CY13">
        <v>3750000</v>
      </c>
      <c r="CZ13">
        <v>3750000</v>
      </c>
      <c r="DA13">
        <v>3750000</v>
      </c>
      <c r="DB13">
        <v>3750000</v>
      </c>
      <c r="DC13">
        <v>3750000</v>
      </c>
      <c r="DD13">
        <v>3750000</v>
      </c>
      <c r="DE13">
        <v>3000000</v>
      </c>
      <c r="DF13">
        <v>3000000</v>
      </c>
      <c r="DG13">
        <v>3000000</v>
      </c>
      <c r="DH13">
        <v>3000000</v>
      </c>
      <c r="DI13">
        <v>3000000</v>
      </c>
      <c r="DJ13">
        <v>3000000</v>
      </c>
      <c r="DK13">
        <v>3000000</v>
      </c>
      <c r="DL13">
        <v>3000000</v>
      </c>
      <c r="DM13">
        <v>3000000</v>
      </c>
      <c r="DN13">
        <v>3750000</v>
      </c>
      <c r="DO13">
        <v>3750000</v>
      </c>
      <c r="DP13">
        <v>3750000</v>
      </c>
      <c r="DQ13">
        <v>3750000</v>
      </c>
      <c r="DR13">
        <v>3750000</v>
      </c>
      <c r="DS13">
        <v>3750000</v>
      </c>
      <c r="DT13">
        <v>3750000</v>
      </c>
      <c r="DU13">
        <v>3750000</v>
      </c>
      <c r="DV13">
        <v>3750000</v>
      </c>
      <c r="DW13">
        <v>3000000</v>
      </c>
      <c r="DX13">
        <v>3000000</v>
      </c>
      <c r="DY13">
        <v>3000000</v>
      </c>
      <c r="DZ13">
        <v>3000000</v>
      </c>
      <c r="EA13">
        <v>3000000</v>
      </c>
      <c r="EB13">
        <v>3000000</v>
      </c>
      <c r="EC13">
        <v>3000000</v>
      </c>
      <c r="ED13">
        <v>3000000</v>
      </c>
      <c r="EE13">
        <v>3000000</v>
      </c>
    </row>
    <row r="14" spans="1:135" x14ac:dyDescent="0.25">
      <c r="R14" t="s">
        <v>51</v>
      </c>
      <c r="S14">
        <v>84</v>
      </c>
      <c r="T14">
        <v>25</v>
      </c>
      <c r="U14">
        <v>8</v>
      </c>
      <c r="V14">
        <v>7</v>
      </c>
      <c r="W14">
        <v>135</v>
      </c>
      <c r="X14">
        <v>27</v>
      </c>
      <c r="Y14">
        <v>9</v>
      </c>
      <c r="Z14">
        <v>2</v>
      </c>
      <c r="AA14">
        <v>2</v>
      </c>
      <c r="AB14">
        <v>84</v>
      </c>
      <c r="AC14">
        <v>25</v>
      </c>
      <c r="AD14">
        <v>8</v>
      </c>
      <c r="AE14">
        <v>7</v>
      </c>
      <c r="AF14">
        <v>135</v>
      </c>
      <c r="AG14">
        <v>27</v>
      </c>
      <c r="AH14">
        <v>9</v>
      </c>
      <c r="AI14">
        <v>2</v>
      </c>
      <c r="AJ14">
        <v>2</v>
      </c>
      <c r="AK14">
        <v>84</v>
      </c>
      <c r="AL14">
        <v>25</v>
      </c>
      <c r="AM14">
        <v>8</v>
      </c>
      <c r="AN14">
        <v>7</v>
      </c>
      <c r="AO14">
        <v>135</v>
      </c>
      <c r="AP14">
        <v>27</v>
      </c>
      <c r="AQ14">
        <v>9</v>
      </c>
      <c r="AR14">
        <v>2</v>
      </c>
      <c r="AS14">
        <v>2</v>
      </c>
      <c r="AT14">
        <v>84</v>
      </c>
      <c r="AU14">
        <v>25</v>
      </c>
      <c r="AV14">
        <v>8</v>
      </c>
      <c r="AW14">
        <v>7</v>
      </c>
      <c r="AX14">
        <v>135</v>
      </c>
      <c r="AY14">
        <v>27</v>
      </c>
      <c r="AZ14">
        <v>9</v>
      </c>
      <c r="BA14">
        <v>2</v>
      </c>
      <c r="BB14">
        <v>2</v>
      </c>
      <c r="BC14">
        <v>84</v>
      </c>
      <c r="BD14">
        <v>25</v>
      </c>
      <c r="BE14">
        <v>8</v>
      </c>
      <c r="BF14">
        <v>7</v>
      </c>
      <c r="BG14">
        <v>135</v>
      </c>
      <c r="BH14">
        <v>27</v>
      </c>
      <c r="BI14">
        <v>9</v>
      </c>
      <c r="BJ14">
        <v>2</v>
      </c>
      <c r="BK14">
        <v>2</v>
      </c>
      <c r="BL14">
        <v>84</v>
      </c>
      <c r="BM14">
        <v>25</v>
      </c>
      <c r="BN14">
        <v>8</v>
      </c>
      <c r="BO14">
        <v>7</v>
      </c>
      <c r="BP14">
        <v>135</v>
      </c>
      <c r="BQ14">
        <v>27</v>
      </c>
      <c r="BR14">
        <v>9</v>
      </c>
      <c r="BS14">
        <v>2</v>
      </c>
      <c r="BT14">
        <v>2</v>
      </c>
      <c r="BU14">
        <v>84</v>
      </c>
      <c r="BV14">
        <v>25</v>
      </c>
      <c r="BW14">
        <v>8</v>
      </c>
      <c r="BX14">
        <v>7</v>
      </c>
      <c r="BY14">
        <v>135</v>
      </c>
      <c r="BZ14">
        <v>27</v>
      </c>
      <c r="CA14">
        <v>9</v>
      </c>
      <c r="CB14">
        <v>2</v>
      </c>
      <c r="CC14">
        <v>2</v>
      </c>
      <c r="CD14">
        <v>84</v>
      </c>
      <c r="CE14">
        <v>25</v>
      </c>
      <c r="CF14">
        <v>8</v>
      </c>
      <c r="CG14">
        <v>7</v>
      </c>
      <c r="CH14">
        <v>135</v>
      </c>
      <c r="CI14">
        <v>27</v>
      </c>
      <c r="CJ14">
        <v>9</v>
      </c>
      <c r="CK14">
        <v>2</v>
      </c>
      <c r="CL14">
        <v>2</v>
      </c>
      <c r="CM14">
        <v>84</v>
      </c>
      <c r="CN14">
        <v>25</v>
      </c>
      <c r="CO14">
        <v>8</v>
      </c>
      <c r="CP14">
        <v>7</v>
      </c>
      <c r="CQ14">
        <v>135</v>
      </c>
      <c r="CR14">
        <v>27</v>
      </c>
      <c r="CS14">
        <v>9</v>
      </c>
      <c r="CT14">
        <v>2</v>
      </c>
      <c r="CU14">
        <v>2</v>
      </c>
      <c r="CV14">
        <v>84</v>
      </c>
      <c r="CW14">
        <v>25</v>
      </c>
      <c r="CX14">
        <v>8</v>
      </c>
      <c r="CY14">
        <v>7</v>
      </c>
      <c r="CZ14">
        <v>135</v>
      </c>
      <c r="DA14">
        <v>27</v>
      </c>
      <c r="DB14">
        <v>9</v>
      </c>
      <c r="DC14">
        <v>2</v>
      </c>
      <c r="DD14">
        <v>2</v>
      </c>
      <c r="DE14">
        <v>84</v>
      </c>
      <c r="DF14">
        <v>25</v>
      </c>
      <c r="DG14">
        <v>8</v>
      </c>
      <c r="DH14">
        <v>7</v>
      </c>
      <c r="DI14">
        <v>135</v>
      </c>
      <c r="DJ14">
        <v>27</v>
      </c>
      <c r="DK14">
        <v>9</v>
      </c>
      <c r="DL14">
        <v>2</v>
      </c>
      <c r="DM14">
        <v>2</v>
      </c>
      <c r="DN14">
        <v>84</v>
      </c>
      <c r="DO14">
        <v>25</v>
      </c>
      <c r="DP14">
        <v>8</v>
      </c>
      <c r="DQ14">
        <v>7</v>
      </c>
      <c r="DR14">
        <v>135</v>
      </c>
      <c r="DS14">
        <v>27</v>
      </c>
      <c r="DT14">
        <v>9</v>
      </c>
      <c r="DU14">
        <v>2</v>
      </c>
      <c r="DV14">
        <v>2</v>
      </c>
      <c r="DW14">
        <v>84</v>
      </c>
      <c r="DX14">
        <v>25</v>
      </c>
      <c r="DY14">
        <v>8</v>
      </c>
      <c r="DZ14">
        <v>7</v>
      </c>
      <c r="EA14">
        <v>135</v>
      </c>
      <c r="EB14">
        <v>27</v>
      </c>
      <c r="EC14">
        <v>9</v>
      </c>
      <c r="ED14">
        <v>2</v>
      </c>
      <c r="EE14">
        <v>2</v>
      </c>
    </row>
    <row r="17" spans="1:68" x14ac:dyDescent="0.25">
      <c r="H17" t="s">
        <v>22</v>
      </c>
      <c r="K17" t="s">
        <v>23</v>
      </c>
      <c r="N17" t="s">
        <v>24</v>
      </c>
      <c r="O17" t="s">
        <v>25</v>
      </c>
      <c r="R17" t="s">
        <v>26</v>
      </c>
      <c r="U17" t="s">
        <v>27</v>
      </c>
      <c r="X17" t="s">
        <v>28</v>
      </c>
      <c r="Z17" t="s">
        <v>29</v>
      </c>
      <c r="AB17" t="s">
        <v>30</v>
      </c>
      <c r="AD17" t="s">
        <v>31</v>
      </c>
      <c r="AE17" t="s">
        <v>82</v>
      </c>
      <c r="AF17" t="s">
        <v>22</v>
      </c>
      <c r="AI17" t="s">
        <v>23</v>
      </c>
      <c r="AL17" t="s">
        <v>24</v>
      </c>
      <c r="AM17" t="s">
        <v>25</v>
      </c>
      <c r="AP17" t="s">
        <v>26</v>
      </c>
      <c r="AS17" t="s">
        <v>27</v>
      </c>
      <c r="AV17" t="s">
        <v>28</v>
      </c>
      <c r="AX17" t="s">
        <v>29</v>
      </c>
      <c r="AZ17" t="s">
        <v>30</v>
      </c>
      <c r="BB17" t="s">
        <v>31</v>
      </c>
      <c r="BC17" t="s">
        <v>82</v>
      </c>
      <c r="BO17" t="s">
        <v>36</v>
      </c>
      <c r="BP17" t="s">
        <v>37</v>
      </c>
    </row>
    <row r="18" spans="1:68" x14ac:dyDescent="0.25">
      <c r="A18" t="s">
        <v>0</v>
      </c>
      <c r="B18" t="s">
        <v>1</v>
      </c>
      <c r="C18" t="s">
        <v>2</v>
      </c>
      <c r="D18" t="s">
        <v>3</v>
      </c>
      <c r="E18" t="s">
        <v>4</v>
      </c>
      <c r="F18" t="s">
        <v>5</v>
      </c>
      <c r="G18" t="s">
        <v>6</v>
      </c>
      <c r="H18">
        <v>0</v>
      </c>
      <c r="I18">
        <v>4</v>
      </c>
      <c r="J18">
        <v>5</v>
      </c>
      <c r="K18">
        <v>0</v>
      </c>
      <c r="L18">
        <v>1</v>
      </c>
      <c r="M18">
        <v>3</v>
      </c>
      <c r="N18">
        <v>0</v>
      </c>
      <c r="O18">
        <v>0</v>
      </c>
      <c r="P18">
        <v>2</v>
      </c>
      <c r="Q18">
        <v>5</v>
      </c>
      <c r="R18">
        <v>0</v>
      </c>
      <c r="S18">
        <v>3</v>
      </c>
      <c r="T18">
        <v>6</v>
      </c>
      <c r="U18">
        <v>0</v>
      </c>
      <c r="V18">
        <v>1</v>
      </c>
      <c r="W18">
        <v>4</v>
      </c>
      <c r="X18">
        <v>0</v>
      </c>
      <c r="Y18">
        <v>2</v>
      </c>
      <c r="Z18">
        <v>0</v>
      </c>
      <c r="AA18">
        <v>4</v>
      </c>
      <c r="AB18">
        <v>0</v>
      </c>
      <c r="AC18">
        <v>2</v>
      </c>
      <c r="AD18">
        <v>0</v>
      </c>
      <c r="AE18">
        <v>0</v>
      </c>
      <c r="AF18">
        <v>0</v>
      </c>
      <c r="AG18">
        <v>4</v>
      </c>
      <c r="AH18">
        <v>5</v>
      </c>
      <c r="AI18">
        <v>0</v>
      </c>
      <c r="AJ18">
        <v>1</v>
      </c>
      <c r="AK18">
        <v>3</v>
      </c>
      <c r="AL18">
        <v>0</v>
      </c>
      <c r="AM18">
        <v>0</v>
      </c>
      <c r="AN18">
        <v>2</v>
      </c>
      <c r="AO18">
        <v>5</v>
      </c>
      <c r="AP18">
        <v>0</v>
      </c>
      <c r="AQ18">
        <v>3</v>
      </c>
      <c r="AR18">
        <v>6</v>
      </c>
      <c r="AS18">
        <v>0</v>
      </c>
      <c r="AT18">
        <v>1</v>
      </c>
      <c r="AU18">
        <v>4</v>
      </c>
      <c r="AV18">
        <v>0</v>
      </c>
      <c r="AW18">
        <v>2</v>
      </c>
      <c r="AX18">
        <v>0</v>
      </c>
      <c r="AY18">
        <v>4</v>
      </c>
      <c r="AZ18">
        <v>0</v>
      </c>
      <c r="BA18">
        <v>2</v>
      </c>
      <c r="BB18">
        <v>0</v>
      </c>
      <c r="BC18">
        <v>0</v>
      </c>
      <c r="BE18" t="s">
        <v>32</v>
      </c>
      <c r="BF18" t="s">
        <v>33</v>
      </c>
      <c r="BH18" t="s">
        <v>34</v>
      </c>
      <c r="BI18" t="s">
        <v>35</v>
      </c>
    </row>
    <row r="19" spans="1:68" x14ac:dyDescent="0.25">
      <c r="A19">
        <v>4</v>
      </c>
      <c r="B19">
        <v>1</v>
      </c>
      <c r="C19">
        <v>18715</v>
      </c>
      <c r="D19">
        <v>5</v>
      </c>
      <c r="E19">
        <v>9</v>
      </c>
      <c r="F19" t="s">
        <v>10</v>
      </c>
      <c r="G19">
        <v>3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f>($H$19) * (225)</f>
        <v>0</v>
      </c>
      <c r="AG19">
        <f>($I$19) * (40)</f>
        <v>0</v>
      </c>
      <c r="AH19">
        <f>($J$19) * (40)</f>
        <v>0</v>
      </c>
      <c r="AI19">
        <f>($K$19) * (225)</f>
        <v>0</v>
      </c>
      <c r="AJ19">
        <f>($L$19) * (40)</f>
        <v>0</v>
      </c>
      <c r="AK19">
        <f>($M$19) * (40)</f>
        <v>0</v>
      </c>
      <c r="AL19">
        <f>($N$19) * (225)</f>
        <v>0</v>
      </c>
      <c r="AM19">
        <f>($O$19) * (225)</f>
        <v>0</v>
      </c>
      <c r="AN19">
        <f>($P$19) * (40)</f>
        <v>0</v>
      </c>
      <c r="AO19">
        <f>($Q$19) * (40)</f>
        <v>0</v>
      </c>
      <c r="AP19">
        <f>($R$19) * (225)</f>
        <v>0</v>
      </c>
      <c r="AQ19">
        <f>($S$19) * (40)</f>
        <v>0</v>
      </c>
      <c r="AR19">
        <f>($T$19) * (40)</f>
        <v>0</v>
      </c>
      <c r="AS19">
        <f>($U$19) * (225)</f>
        <v>0</v>
      </c>
      <c r="AT19">
        <f>($V$19) * (40)</f>
        <v>0</v>
      </c>
      <c r="AU19">
        <f>($W$19) * (40)</f>
        <v>0</v>
      </c>
      <c r="AV19">
        <f>($X$19) * (225)</f>
        <v>0</v>
      </c>
      <c r="AW19">
        <f>($Y$19) * (40)</f>
        <v>0</v>
      </c>
      <c r="AX19">
        <f>($Z$19) * (275)</f>
        <v>0</v>
      </c>
      <c r="AY19">
        <f>($AA$19) * (90)</f>
        <v>0</v>
      </c>
      <c r="AZ19">
        <f>($AB$19) * (325)</f>
        <v>0</v>
      </c>
      <c r="BA19">
        <f>($AC$19) * (140)</f>
        <v>0</v>
      </c>
      <c r="BB19">
        <f>($AD$19) * (375)</f>
        <v>0</v>
      </c>
      <c r="BC19">
        <f>($AE$19) * (425)</f>
        <v>0</v>
      </c>
      <c r="BE19">
        <f>SUMPRODUCT(($B$19:$B$317) * ($I$19:$I$317))</f>
        <v>0</v>
      </c>
      <c r="BF19">
        <v>225</v>
      </c>
      <c r="BH19">
        <f>SUMPRODUCT(($C$19:$C$317) * ($I$19:$I$317))</f>
        <v>0</v>
      </c>
      <c r="BI19">
        <v>3750000</v>
      </c>
      <c r="BO19">
        <v>1</v>
      </c>
      <c r="BP19">
        <f>SUM($U$19:$AB$19)</f>
        <v>0</v>
      </c>
    </row>
    <row r="20" spans="1:68" x14ac:dyDescent="0.25">
      <c r="A20">
        <v>6</v>
      </c>
      <c r="B20">
        <v>2</v>
      </c>
      <c r="C20">
        <v>22929</v>
      </c>
      <c r="D20">
        <v>0</v>
      </c>
      <c r="E20">
        <v>5</v>
      </c>
      <c r="F20" t="s">
        <v>10</v>
      </c>
      <c r="G20">
        <v>3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f>($H$20) * (225)</f>
        <v>0</v>
      </c>
      <c r="AG20">
        <f>($I$20) * (80)</f>
        <v>0</v>
      </c>
      <c r="AH20">
        <f>($J$20) * (80)</f>
        <v>0</v>
      </c>
      <c r="AI20">
        <f>($K$20) * (225)</f>
        <v>0</v>
      </c>
      <c r="AJ20">
        <f>($L$20) * (80)</f>
        <v>0</v>
      </c>
      <c r="AK20">
        <f>($M$20) * (80)</f>
        <v>0</v>
      </c>
      <c r="AL20">
        <f>($N$20) * (295)</f>
        <v>0</v>
      </c>
      <c r="AM20">
        <f>($O$20) * (365)</f>
        <v>0</v>
      </c>
      <c r="AN20">
        <f>($P$20) * (220)</f>
        <v>0</v>
      </c>
      <c r="AO20">
        <f>($Q$20) * (220)</f>
        <v>0</v>
      </c>
      <c r="AP20">
        <f>($R$20) * (435)</f>
        <v>0</v>
      </c>
      <c r="AQ20">
        <f>($S$20) * (290)</f>
        <v>0</v>
      </c>
      <c r="AR20">
        <f>($T$20) * (290)</f>
        <v>0</v>
      </c>
      <c r="AS20">
        <f>($U$20) * (505)</f>
        <v>0</v>
      </c>
      <c r="AT20">
        <f>($V$20) * (360)</f>
        <v>0</v>
      </c>
      <c r="AU20">
        <f>($W$20) * (360)</f>
        <v>0</v>
      </c>
      <c r="AV20">
        <f>($X$20) * (575)</f>
        <v>0</v>
      </c>
      <c r="AW20">
        <f>($Y$20) * (430)</f>
        <v>0</v>
      </c>
      <c r="AX20">
        <f>($Z$20) * (645)</f>
        <v>0</v>
      </c>
      <c r="AY20">
        <f>($AA$20) * (500)</f>
        <v>0</v>
      </c>
      <c r="AZ20">
        <f>($AB$20) * (715)</f>
        <v>0</v>
      </c>
      <c r="BA20">
        <f>($AC$20) * (570)</f>
        <v>0</v>
      </c>
      <c r="BB20">
        <f>($AD$20) * (785)</f>
        <v>0</v>
      </c>
      <c r="BC20">
        <f>($AE$20) * (855)</f>
        <v>0</v>
      </c>
      <c r="BE20">
        <f>SUMPRODUCT(($B$19:$B$317) * ($J$19:$J$317))</f>
        <v>0</v>
      </c>
      <c r="BF20">
        <v>250</v>
      </c>
      <c r="BH20">
        <f>SUMPRODUCT(($C$19:$C$317) * ($J$19:$J$317))</f>
        <v>0</v>
      </c>
      <c r="BI20">
        <v>3750000</v>
      </c>
      <c r="BO20">
        <v>1</v>
      </c>
      <c r="BP20">
        <f>SUM($H$20:$R$20)</f>
        <v>0</v>
      </c>
    </row>
    <row r="21" spans="1:68" x14ac:dyDescent="0.25">
      <c r="A21">
        <v>11</v>
      </c>
      <c r="B21">
        <v>2</v>
      </c>
      <c r="C21">
        <v>10600</v>
      </c>
      <c r="D21">
        <v>1</v>
      </c>
      <c r="E21">
        <v>4</v>
      </c>
      <c r="F21" t="s">
        <v>10</v>
      </c>
      <c r="G21">
        <v>4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f>($H$21) * (225)</f>
        <v>0</v>
      </c>
      <c r="AG21">
        <f>($I$21) * (80)</f>
        <v>0</v>
      </c>
      <c r="AH21">
        <f>($J$21) * (80)</f>
        <v>0</v>
      </c>
      <c r="AI21">
        <f>($K$21) * (225)</f>
        <v>0</v>
      </c>
      <c r="AJ21">
        <f>($L$21) * (80)</f>
        <v>0</v>
      </c>
      <c r="AK21">
        <f>($M$21) * (80)</f>
        <v>0</v>
      </c>
      <c r="AL21">
        <f>($N$21) * (225)</f>
        <v>0</v>
      </c>
      <c r="AM21">
        <f>($O$21) * (225)</f>
        <v>0</v>
      </c>
      <c r="AN21">
        <f>($P$21) * (80)</f>
        <v>0</v>
      </c>
      <c r="AO21">
        <f>($Q$21) * (80)</f>
        <v>0</v>
      </c>
      <c r="AP21">
        <f>($R$21) * (295)</f>
        <v>0</v>
      </c>
      <c r="AQ21">
        <f>($S$21) * (150)</f>
        <v>0</v>
      </c>
      <c r="AR21">
        <f>($T$21) * (150)</f>
        <v>0</v>
      </c>
      <c r="AS21">
        <f>($U$21) * (365)</f>
        <v>0</v>
      </c>
      <c r="AT21">
        <f>($V$21) * (220)</f>
        <v>0</v>
      </c>
      <c r="AU21">
        <f>($W$21) * (220)</f>
        <v>0</v>
      </c>
      <c r="AV21">
        <f>($X$21) * (435)</f>
        <v>0</v>
      </c>
      <c r="AW21">
        <f>($Y$21) * (290)</f>
        <v>0</v>
      </c>
      <c r="AX21">
        <f>($Z$21) * (505)</f>
        <v>0</v>
      </c>
      <c r="AY21">
        <f>($AA$21) * (360)</f>
        <v>0</v>
      </c>
      <c r="AZ21">
        <f>($AB$21) * (575)</f>
        <v>0</v>
      </c>
      <c r="BA21">
        <f>($AC$21) * (430)</f>
        <v>0</v>
      </c>
      <c r="BB21">
        <f>($AD$21) * (645)</f>
        <v>0</v>
      </c>
      <c r="BC21">
        <f>($AE$21) * (715)</f>
        <v>0</v>
      </c>
      <c r="BE21">
        <f>SUMPRODUCT(($B$19:$B$317) * ($L$19:$L$317))</f>
        <v>0</v>
      </c>
      <c r="BF21">
        <v>250</v>
      </c>
      <c r="BH21">
        <f>SUMPRODUCT(($C$19:$C$317) * ($L$19:$L$317))</f>
        <v>0</v>
      </c>
      <c r="BI21">
        <v>4000000</v>
      </c>
      <c r="BO21">
        <v>1</v>
      </c>
      <c r="BP21">
        <f>SUM($K$21:$O$21)</f>
        <v>0</v>
      </c>
    </row>
    <row r="22" spans="1:68" x14ac:dyDescent="0.25">
      <c r="A22">
        <v>16</v>
      </c>
      <c r="B22">
        <v>2</v>
      </c>
      <c r="C22">
        <v>26236</v>
      </c>
      <c r="D22">
        <v>6</v>
      </c>
      <c r="E22">
        <v>10</v>
      </c>
      <c r="F22" t="s">
        <v>10</v>
      </c>
      <c r="G22">
        <v>3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f>($H$22) * (225)</f>
        <v>0</v>
      </c>
      <c r="AG22">
        <f>($I$22) * (80)</f>
        <v>0</v>
      </c>
      <c r="AH22">
        <f>($J$22) * (80)</f>
        <v>0</v>
      </c>
      <c r="AI22">
        <f>($K$22) * (225)</f>
        <v>0</v>
      </c>
      <c r="AJ22">
        <f>($L$22) * (80)</f>
        <v>0</v>
      </c>
      <c r="AK22">
        <f>($M$22) * (80)</f>
        <v>0</v>
      </c>
      <c r="AL22">
        <f>($N$22) * (225)</f>
        <v>0</v>
      </c>
      <c r="AM22">
        <f>($O$22) * (225)</f>
        <v>0</v>
      </c>
      <c r="AN22">
        <f>($P$22) * (80)</f>
        <v>0</v>
      </c>
      <c r="AO22">
        <f>($Q$22) * (80)</f>
        <v>0</v>
      </c>
      <c r="AP22">
        <f>($R$22) * (225)</f>
        <v>0</v>
      </c>
      <c r="AQ22">
        <f>($S$22) * (80)</f>
        <v>0</v>
      </c>
      <c r="AR22">
        <f>($T$22) * (80)</f>
        <v>0</v>
      </c>
      <c r="AS22">
        <f>($U$22) * (225)</f>
        <v>0</v>
      </c>
      <c r="AT22">
        <f>($V$22) * (80)</f>
        <v>0</v>
      </c>
      <c r="AU22">
        <f>($W$22) * (80)</f>
        <v>0</v>
      </c>
      <c r="AV22">
        <f>($X$22) * (225)</f>
        <v>0</v>
      </c>
      <c r="AW22">
        <f>($Y$22) * (80)</f>
        <v>0</v>
      </c>
      <c r="AX22">
        <f>($Z$22) * (225)</f>
        <v>0</v>
      </c>
      <c r="AY22">
        <f>($AA$22) * (80)</f>
        <v>0</v>
      </c>
      <c r="AZ22">
        <f>($AB$22) * (295)</f>
        <v>0</v>
      </c>
      <c r="BA22">
        <f>($AC$22) * (150)</f>
        <v>0</v>
      </c>
      <c r="BB22">
        <f>($AD$22) * (365)</f>
        <v>0</v>
      </c>
      <c r="BC22">
        <f>($AE$22) * (435)</f>
        <v>0</v>
      </c>
      <c r="BE22">
        <f>SUMPRODUCT(($B$19:$B$317) * ($M$19:$M$317))</f>
        <v>0</v>
      </c>
      <c r="BF22">
        <v>210</v>
      </c>
      <c r="BH22">
        <f>SUMPRODUCT(($C$19:$C$317) * ($M$19:$M$317))</f>
        <v>0</v>
      </c>
      <c r="BI22">
        <v>3500000</v>
      </c>
      <c r="BO22">
        <v>1</v>
      </c>
      <c r="BP22">
        <f>SUM($X$22:$AD$22)</f>
        <v>0</v>
      </c>
    </row>
    <row r="23" spans="1:68" x14ac:dyDescent="0.25">
      <c r="A23">
        <v>17</v>
      </c>
      <c r="B23">
        <v>1</v>
      </c>
      <c r="C23">
        <v>24084</v>
      </c>
      <c r="D23">
        <v>3</v>
      </c>
      <c r="E23">
        <v>8</v>
      </c>
      <c r="F23" t="s">
        <v>10</v>
      </c>
      <c r="G23">
        <v>3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f>($H$23) * (225)</f>
        <v>0</v>
      </c>
      <c r="AG23">
        <f>($I$23) * (40)</f>
        <v>0</v>
      </c>
      <c r="AH23">
        <f>($J$23) * (40)</f>
        <v>0</v>
      </c>
      <c r="AI23">
        <f>($K$23) * (225)</f>
        <v>0</v>
      </c>
      <c r="AJ23">
        <f>($L$23) * (40)</f>
        <v>0</v>
      </c>
      <c r="AK23">
        <f>($M$23) * (40)</f>
        <v>0</v>
      </c>
      <c r="AL23">
        <f>($N$23) * (225)</f>
        <v>0</v>
      </c>
      <c r="AM23">
        <f>($O$23) * (225)</f>
        <v>0</v>
      </c>
      <c r="AN23">
        <f>($P$23) * (40)</f>
        <v>0</v>
      </c>
      <c r="AO23">
        <f>($Q$23) * (40)</f>
        <v>0</v>
      </c>
      <c r="AP23">
        <f>($R$23) * (225)</f>
        <v>0</v>
      </c>
      <c r="AQ23">
        <f>($S$23) * (40)</f>
        <v>0</v>
      </c>
      <c r="AR23">
        <f>($T$23) * (40)</f>
        <v>0</v>
      </c>
      <c r="AS23">
        <f>($U$23) * (275)</f>
        <v>0</v>
      </c>
      <c r="AT23">
        <f>($V$23) * (90)</f>
        <v>0</v>
      </c>
      <c r="AU23">
        <f>($W$23) * (90)</f>
        <v>0</v>
      </c>
      <c r="AV23">
        <f>($X$23) * (325)</f>
        <v>0</v>
      </c>
      <c r="AW23">
        <f>($Y$23) * (140)</f>
        <v>0</v>
      </c>
      <c r="AX23">
        <f>($Z$23) * (375)</f>
        <v>0</v>
      </c>
      <c r="AY23">
        <f>($AA$23) * (190)</f>
        <v>0</v>
      </c>
      <c r="AZ23">
        <f>($AB$23) * (425)</f>
        <v>0</v>
      </c>
      <c r="BA23">
        <f>($AC$23) * (240)</f>
        <v>0</v>
      </c>
      <c r="BB23">
        <f>($AD$23) * (475)</f>
        <v>0</v>
      </c>
      <c r="BC23">
        <f>($AE$23) * (525)</f>
        <v>0</v>
      </c>
      <c r="BE23">
        <f>SUMPRODUCT(($B$19:$B$317) * ($P$19:$P$317))</f>
        <v>0</v>
      </c>
      <c r="BF23">
        <v>200</v>
      </c>
      <c r="BH23">
        <f>SUMPRODUCT(($C$19:$C$317) * ($P$19:$P$317))</f>
        <v>0</v>
      </c>
      <c r="BI23">
        <v>3000000</v>
      </c>
      <c r="BO23">
        <v>1</v>
      </c>
      <c r="BP23">
        <f>SUM($O$23:$Z$23)</f>
        <v>0</v>
      </c>
    </row>
    <row r="24" spans="1:68" x14ac:dyDescent="0.25">
      <c r="A24">
        <v>22</v>
      </c>
      <c r="B24">
        <v>2</v>
      </c>
      <c r="C24">
        <v>9382</v>
      </c>
      <c r="D24">
        <v>4</v>
      </c>
      <c r="E24">
        <v>7</v>
      </c>
      <c r="F24" t="s">
        <v>10</v>
      </c>
      <c r="G24">
        <v>4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f>($H$24) * (225)</f>
        <v>0</v>
      </c>
      <c r="AG24">
        <f>($I$24) * (80)</f>
        <v>0</v>
      </c>
      <c r="AH24">
        <f>($J$24) * (80)</f>
        <v>0</v>
      </c>
      <c r="AI24">
        <f>($K$24) * (225)</f>
        <v>0</v>
      </c>
      <c r="AJ24">
        <f>($L$24) * (80)</f>
        <v>0</v>
      </c>
      <c r="AK24">
        <f>($M$24) * (80)</f>
        <v>0</v>
      </c>
      <c r="AL24">
        <f>($N$24) * (225)</f>
        <v>0</v>
      </c>
      <c r="AM24">
        <f>($O$24) * (225)</f>
        <v>0</v>
      </c>
      <c r="AN24">
        <f>($P$24) * (80)</f>
        <v>0</v>
      </c>
      <c r="AO24">
        <f>($Q$24) * (80)</f>
        <v>0</v>
      </c>
      <c r="AP24">
        <f>($R$24) * (225)</f>
        <v>0</v>
      </c>
      <c r="AQ24">
        <f>($S$24) * (80)</f>
        <v>0</v>
      </c>
      <c r="AR24">
        <f>($T$24) * (80)</f>
        <v>0</v>
      </c>
      <c r="AS24">
        <f>($U$24) * (225)</f>
        <v>0</v>
      </c>
      <c r="AT24">
        <f>($V$24) * (80)</f>
        <v>0</v>
      </c>
      <c r="AU24">
        <f>($W$24) * (80)</f>
        <v>0</v>
      </c>
      <c r="AV24">
        <f>($X$24) * (225)</f>
        <v>0</v>
      </c>
      <c r="AW24">
        <f>($Y$24) * (80)</f>
        <v>0</v>
      </c>
      <c r="AX24">
        <f>($Z$24) * (295)</f>
        <v>0</v>
      </c>
      <c r="AY24">
        <f>($AA$24) * (150)</f>
        <v>0</v>
      </c>
      <c r="AZ24">
        <f>($AB$24) * (365)</f>
        <v>0</v>
      </c>
      <c r="BA24">
        <f>($AC$24) * (220)</f>
        <v>0</v>
      </c>
      <c r="BB24">
        <f>($AD$24) * (435)</f>
        <v>0</v>
      </c>
      <c r="BC24">
        <f>($AE$24) * (505)</f>
        <v>0</v>
      </c>
      <c r="BE24">
        <f>SUMPRODUCT(($B$19:$B$317) * ($Q$19:$Q$317))</f>
        <v>0</v>
      </c>
      <c r="BF24">
        <v>250</v>
      </c>
      <c r="BH24">
        <f>SUMPRODUCT(($C$19:$C$317) * ($Q$19:$Q$317))</f>
        <v>0</v>
      </c>
      <c r="BI24">
        <v>3750000</v>
      </c>
      <c r="BO24">
        <v>1</v>
      </c>
      <c r="BP24">
        <f>SUM($R$24:$X$24)</f>
        <v>0</v>
      </c>
    </row>
    <row r="25" spans="1:68" x14ac:dyDescent="0.25">
      <c r="A25">
        <v>23</v>
      </c>
      <c r="B25">
        <v>2</v>
      </c>
      <c r="C25">
        <v>9382</v>
      </c>
      <c r="D25">
        <v>-1</v>
      </c>
      <c r="E25">
        <v>4</v>
      </c>
      <c r="F25" t="s">
        <v>10</v>
      </c>
      <c r="G25">
        <v>6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f>($H$25) * (225)</f>
        <v>0</v>
      </c>
      <c r="AG25">
        <f>($I$25) * (80)</f>
        <v>0</v>
      </c>
      <c r="AH25">
        <f>($J$25) * (80)</f>
        <v>0</v>
      </c>
      <c r="AI25">
        <f>($K$25) * (225)</f>
        <v>0</v>
      </c>
      <c r="AJ25">
        <f>($L$25) * (80)</f>
        <v>0</v>
      </c>
      <c r="AK25">
        <f>($M$25) * (80)</f>
        <v>0</v>
      </c>
      <c r="AL25">
        <f>($N$25) * (225)</f>
        <v>0</v>
      </c>
      <c r="AM25">
        <f>($O$25) * (225)</f>
        <v>0</v>
      </c>
      <c r="AN25">
        <f>($P$25) * (80)</f>
        <v>0</v>
      </c>
      <c r="AO25">
        <f>($Q$25) * (80)</f>
        <v>0</v>
      </c>
      <c r="AP25">
        <f>($R$25) * (295)</f>
        <v>0</v>
      </c>
      <c r="AQ25">
        <f>($S$25) * (150)</f>
        <v>0</v>
      </c>
      <c r="AR25">
        <f>($T$25) * (150)</f>
        <v>0</v>
      </c>
      <c r="AS25">
        <f>($U$25) * (365)</f>
        <v>0</v>
      </c>
      <c r="AT25">
        <f>($V$25) * (220)</f>
        <v>0</v>
      </c>
      <c r="AU25">
        <f>($W$25) * (220)</f>
        <v>0</v>
      </c>
      <c r="AV25">
        <f>($X$25) * (435)</f>
        <v>0</v>
      </c>
      <c r="AW25">
        <f>($Y$25) * (290)</f>
        <v>0</v>
      </c>
      <c r="AX25">
        <f>($Z$25) * (505)</f>
        <v>0</v>
      </c>
      <c r="AY25">
        <f>($AA$25) * (360)</f>
        <v>0</v>
      </c>
      <c r="AZ25">
        <f>($AB$25) * (575)</f>
        <v>0</v>
      </c>
      <c r="BA25">
        <f>($AC$25) * (430)</f>
        <v>0</v>
      </c>
      <c r="BB25">
        <f>($AD$25) * (645)</f>
        <v>0</v>
      </c>
      <c r="BC25">
        <f>($AE$25) * (715)</f>
        <v>0</v>
      </c>
      <c r="BE25">
        <f>SUMPRODUCT(($B$19:$B$317) * ($S$19:$S$317))</f>
        <v>0</v>
      </c>
      <c r="BF25">
        <v>210</v>
      </c>
      <c r="BH25">
        <f>SUMPRODUCT(($C$19:$C$317) * ($S$19:$S$317))</f>
        <v>0</v>
      </c>
      <c r="BI25">
        <v>3500000</v>
      </c>
      <c r="BO25">
        <v>1</v>
      </c>
      <c r="BP25">
        <f>SUM($H$25:$O$25)</f>
        <v>0</v>
      </c>
    </row>
    <row r="26" spans="1:68" x14ac:dyDescent="0.25">
      <c r="A26">
        <v>24</v>
      </c>
      <c r="B26">
        <v>2</v>
      </c>
      <c r="C26">
        <v>9382</v>
      </c>
      <c r="D26">
        <v>4</v>
      </c>
      <c r="E26">
        <v>7</v>
      </c>
      <c r="F26" t="s">
        <v>10</v>
      </c>
      <c r="G26">
        <v>3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f>($H$26) * (225)</f>
        <v>0</v>
      </c>
      <c r="AG26">
        <f>($I$26) * (80)</f>
        <v>0</v>
      </c>
      <c r="AH26">
        <f>($J$26) * (80)</f>
        <v>0</v>
      </c>
      <c r="AI26">
        <f>($K$26) * (225)</f>
        <v>0</v>
      </c>
      <c r="AJ26">
        <f>($L$26) * (80)</f>
        <v>0</v>
      </c>
      <c r="AK26">
        <f>($M$26) * (80)</f>
        <v>0</v>
      </c>
      <c r="AL26">
        <f>($N$26) * (225)</f>
        <v>0</v>
      </c>
      <c r="AM26">
        <f>($O$26) * (225)</f>
        <v>0</v>
      </c>
      <c r="AN26">
        <f>($P$26) * (80)</f>
        <v>0</v>
      </c>
      <c r="AO26">
        <f>($Q$26) * (80)</f>
        <v>0</v>
      </c>
      <c r="AP26">
        <f>($R$26) * (225)</f>
        <v>0</v>
      </c>
      <c r="AQ26">
        <f>($S$26) * (80)</f>
        <v>0</v>
      </c>
      <c r="AR26">
        <f>($T$26) * (80)</f>
        <v>0</v>
      </c>
      <c r="AS26">
        <f>($U$26) * (225)</f>
        <v>0</v>
      </c>
      <c r="AT26">
        <f>($V$26) * (80)</f>
        <v>0</v>
      </c>
      <c r="AU26">
        <f>($W$26) * (80)</f>
        <v>0</v>
      </c>
      <c r="AV26">
        <f>($X$26) * (295)</f>
        <v>0</v>
      </c>
      <c r="AW26">
        <f>($Y$26) * (150)</f>
        <v>0</v>
      </c>
      <c r="AX26">
        <f>($Z$26) * (365)</f>
        <v>0</v>
      </c>
      <c r="AY26">
        <f>($AA$26) * (220)</f>
        <v>0</v>
      </c>
      <c r="AZ26">
        <f>($AB$26) * (435)</f>
        <v>0</v>
      </c>
      <c r="BA26">
        <f>($AC$26) * (290)</f>
        <v>0</v>
      </c>
      <c r="BB26">
        <f>($AD$26) * (505)</f>
        <v>0</v>
      </c>
      <c r="BC26">
        <f>($AE$26) * (575)</f>
        <v>0</v>
      </c>
      <c r="BE26">
        <f>SUMPRODUCT(($B$19:$B$317) * ($T$19:$T$317))</f>
        <v>0</v>
      </c>
      <c r="BF26">
        <v>150</v>
      </c>
      <c r="BH26">
        <f>SUMPRODUCT(($C$19:$C$317) * ($T$19:$T$317))</f>
        <v>0</v>
      </c>
      <c r="BI26">
        <v>2500000</v>
      </c>
      <c r="BO26">
        <v>1</v>
      </c>
      <c r="BP26">
        <f>SUM($R$26:$X$26)</f>
        <v>0</v>
      </c>
    </row>
    <row r="27" spans="1:68" x14ac:dyDescent="0.25">
      <c r="A27">
        <v>26</v>
      </c>
      <c r="B27">
        <v>2</v>
      </c>
      <c r="C27">
        <v>9382</v>
      </c>
      <c r="D27">
        <v>5</v>
      </c>
      <c r="E27">
        <v>8</v>
      </c>
      <c r="F27" t="s">
        <v>10</v>
      </c>
      <c r="G27">
        <v>3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f>($H$27) * (225)</f>
        <v>0</v>
      </c>
      <c r="AG27">
        <f>($I$27) * (80)</f>
        <v>0</v>
      </c>
      <c r="AH27">
        <f>($J$27) * (80)</f>
        <v>0</v>
      </c>
      <c r="AI27">
        <f>($K$27) * (225)</f>
        <v>0</v>
      </c>
      <c r="AJ27">
        <f>($L$27) * (80)</f>
        <v>0</v>
      </c>
      <c r="AK27">
        <f>($M$27) * (80)</f>
        <v>0</v>
      </c>
      <c r="AL27">
        <f>($N$27) * (225)</f>
        <v>0</v>
      </c>
      <c r="AM27">
        <f>($O$27) * (225)</f>
        <v>0</v>
      </c>
      <c r="AN27">
        <f>($P$27) * (80)</f>
        <v>0</v>
      </c>
      <c r="AO27">
        <f>($Q$27) * (80)</f>
        <v>0</v>
      </c>
      <c r="AP27">
        <f>($R$27) * (225)</f>
        <v>0</v>
      </c>
      <c r="AQ27">
        <f>($S$27) * (80)</f>
        <v>0</v>
      </c>
      <c r="AR27">
        <f>($T$27) * (80)</f>
        <v>0</v>
      </c>
      <c r="AS27">
        <f>($U$27) * (225)</f>
        <v>0</v>
      </c>
      <c r="AT27">
        <f>($V$27) * (80)</f>
        <v>0</v>
      </c>
      <c r="AU27">
        <f>($W$27) * (80)</f>
        <v>0</v>
      </c>
      <c r="AV27">
        <f>($X$27) * (225)</f>
        <v>0</v>
      </c>
      <c r="AW27">
        <f>($Y$27) * (80)</f>
        <v>0</v>
      </c>
      <c r="AX27">
        <f>($Z$27) * (295)</f>
        <v>0</v>
      </c>
      <c r="AY27">
        <f>($AA$27) * (150)</f>
        <v>0</v>
      </c>
      <c r="AZ27">
        <f>($AB$27) * (365)</f>
        <v>0</v>
      </c>
      <c r="BA27">
        <f>($AC$27) * (220)</f>
        <v>0</v>
      </c>
      <c r="BB27">
        <f>($AD$27) * (435)</f>
        <v>0</v>
      </c>
      <c r="BC27">
        <f>($AE$27) * (505)</f>
        <v>0</v>
      </c>
      <c r="BE27">
        <f>SUMPRODUCT(($B$19:$B$317) * ($V$19:$V$317))</f>
        <v>0</v>
      </c>
      <c r="BF27">
        <v>250</v>
      </c>
      <c r="BH27">
        <f>SUMPRODUCT(($C$19:$C$317) * ($V$19:$V$317))</f>
        <v>0</v>
      </c>
      <c r="BI27">
        <v>4000000</v>
      </c>
      <c r="BO27">
        <v>1</v>
      </c>
      <c r="BP27">
        <f>SUM($U$27:$Z$27)</f>
        <v>0</v>
      </c>
    </row>
    <row r="28" spans="1:68" x14ac:dyDescent="0.25">
      <c r="A28">
        <v>27</v>
      </c>
      <c r="B28">
        <v>2</v>
      </c>
      <c r="C28">
        <v>9382</v>
      </c>
      <c r="D28">
        <v>1</v>
      </c>
      <c r="E28">
        <v>4</v>
      </c>
      <c r="F28" t="s">
        <v>10</v>
      </c>
      <c r="G28">
        <v>4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f>($H$28) * (225)</f>
        <v>0</v>
      </c>
      <c r="AG28">
        <f>($I$28) * (80)</f>
        <v>0</v>
      </c>
      <c r="AH28">
        <f>($J$28) * (80)</f>
        <v>0</v>
      </c>
      <c r="AI28">
        <f>($K$28) * (225)</f>
        <v>0</v>
      </c>
      <c r="AJ28">
        <f>($L$28) * (80)</f>
        <v>0</v>
      </c>
      <c r="AK28">
        <f>($M$28) * (80)</f>
        <v>0</v>
      </c>
      <c r="AL28">
        <f>($N$28) * (225)</f>
        <v>0</v>
      </c>
      <c r="AM28">
        <f>($O$28) * (225)</f>
        <v>0</v>
      </c>
      <c r="AN28">
        <f>($P$28) * (80)</f>
        <v>0</v>
      </c>
      <c r="AO28">
        <f>($Q$28) * (80)</f>
        <v>0</v>
      </c>
      <c r="AP28">
        <f>($R$28) * (295)</f>
        <v>0</v>
      </c>
      <c r="AQ28">
        <f>($S$28) * (150)</f>
        <v>0</v>
      </c>
      <c r="AR28">
        <f>($T$28) * (150)</f>
        <v>0</v>
      </c>
      <c r="AS28">
        <f>($U$28) * (365)</f>
        <v>0</v>
      </c>
      <c r="AT28">
        <f>($V$28) * (220)</f>
        <v>0</v>
      </c>
      <c r="AU28">
        <f>($W$28) * (220)</f>
        <v>0</v>
      </c>
      <c r="AV28">
        <f>($X$28) * (435)</f>
        <v>0</v>
      </c>
      <c r="AW28">
        <f>($Y$28) * (290)</f>
        <v>0</v>
      </c>
      <c r="AX28">
        <f>($Z$28) * (505)</f>
        <v>0</v>
      </c>
      <c r="AY28">
        <f>($AA$28) * (360)</f>
        <v>0</v>
      </c>
      <c r="AZ28">
        <f>($AB$28) * (575)</f>
        <v>0</v>
      </c>
      <c r="BA28">
        <f>($AC$28) * (430)</f>
        <v>0</v>
      </c>
      <c r="BB28">
        <f>($AD$28) * (645)</f>
        <v>0</v>
      </c>
      <c r="BC28">
        <f>($AE$28) * (715)</f>
        <v>0</v>
      </c>
      <c r="BE28">
        <f>SUMPRODUCT(($B$19:$B$317) * ($W$19:$W$317))</f>
        <v>0</v>
      </c>
      <c r="BF28">
        <v>225</v>
      </c>
      <c r="BH28">
        <f>SUMPRODUCT(($C$19:$C$317) * ($W$19:$W$317))</f>
        <v>0</v>
      </c>
      <c r="BI28">
        <v>3750000</v>
      </c>
      <c r="BO28">
        <v>1</v>
      </c>
      <c r="BP28">
        <f>SUM($K$28:$O$28)</f>
        <v>0</v>
      </c>
    </row>
    <row r="29" spans="1:68" x14ac:dyDescent="0.25">
      <c r="A29">
        <v>30</v>
      </c>
      <c r="B29">
        <v>2</v>
      </c>
      <c r="C29">
        <v>22950</v>
      </c>
      <c r="D29">
        <v>5</v>
      </c>
      <c r="E29">
        <v>9</v>
      </c>
      <c r="F29" t="s">
        <v>10</v>
      </c>
      <c r="G29">
        <v>4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f>($H$29) * (225)</f>
        <v>0</v>
      </c>
      <c r="AG29">
        <f>($I$29) * (80)</f>
        <v>0</v>
      </c>
      <c r="AH29">
        <f>($J$29) * (80)</f>
        <v>0</v>
      </c>
      <c r="AI29">
        <f>($K$29) * (225)</f>
        <v>0</v>
      </c>
      <c r="AJ29">
        <f>($L$29) * (80)</f>
        <v>0</v>
      </c>
      <c r="AK29">
        <f>($M$29) * (80)</f>
        <v>0</v>
      </c>
      <c r="AL29">
        <f>($N$29) * (225)</f>
        <v>0</v>
      </c>
      <c r="AM29">
        <f>($O$29) * (225)</f>
        <v>0</v>
      </c>
      <c r="AN29">
        <f>($P$29) * (80)</f>
        <v>0</v>
      </c>
      <c r="AO29">
        <f>($Q$29) * (80)</f>
        <v>0</v>
      </c>
      <c r="AP29">
        <f>($R$29) * (225)</f>
        <v>0</v>
      </c>
      <c r="AQ29">
        <f>($S$29) * (80)</f>
        <v>0</v>
      </c>
      <c r="AR29">
        <f>($T$29) * (80)</f>
        <v>0</v>
      </c>
      <c r="AS29">
        <f>($U$29) * (225)</f>
        <v>0</v>
      </c>
      <c r="AT29">
        <f>($V$29) * (80)</f>
        <v>0</v>
      </c>
      <c r="AU29">
        <f>($W$29) * (80)</f>
        <v>0</v>
      </c>
      <c r="AV29">
        <f>($X$29) * (225)</f>
        <v>0</v>
      </c>
      <c r="AW29">
        <f>($Y$29) * (80)</f>
        <v>0</v>
      </c>
      <c r="AX29">
        <f>($Z$29) * (225)</f>
        <v>0</v>
      </c>
      <c r="AY29">
        <f>($AA$29) * (80)</f>
        <v>0</v>
      </c>
      <c r="AZ29">
        <f>($AB$29) * (295)</f>
        <v>0</v>
      </c>
      <c r="BA29">
        <f>($AC$29) * (150)</f>
        <v>0</v>
      </c>
      <c r="BB29">
        <f>($AD$29) * (365)</f>
        <v>0</v>
      </c>
      <c r="BC29">
        <f>($AE$29) * (435)</f>
        <v>0</v>
      </c>
      <c r="BE29">
        <f>SUMPRODUCT(($B$19:$B$317) * ($Y$19:$Y$317))</f>
        <v>0</v>
      </c>
      <c r="BF29">
        <v>200</v>
      </c>
      <c r="BH29">
        <f>SUMPRODUCT(($C$19:$C$317) * ($Y$19:$Y$317))</f>
        <v>0</v>
      </c>
      <c r="BI29">
        <v>3000000</v>
      </c>
      <c r="BO29">
        <v>1</v>
      </c>
      <c r="BP29">
        <f>SUM($U$29:$AB$29)</f>
        <v>0</v>
      </c>
    </row>
    <row r="30" spans="1:68" x14ac:dyDescent="0.25">
      <c r="A30">
        <v>33</v>
      </c>
      <c r="B30">
        <v>2</v>
      </c>
      <c r="C30">
        <v>8950</v>
      </c>
      <c r="D30">
        <v>5</v>
      </c>
      <c r="E30">
        <v>9</v>
      </c>
      <c r="F30" t="s">
        <v>10</v>
      </c>
      <c r="G30">
        <v>3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f>($H$30) * (225)</f>
        <v>0</v>
      </c>
      <c r="AG30">
        <f>($I$30) * (80)</f>
        <v>0</v>
      </c>
      <c r="AH30">
        <f>($J$30) * (80)</f>
        <v>0</v>
      </c>
      <c r="AI30">
        <f>($K$30) * (225)</f>
        <v>0</v>
      </c>
      <c r="AJ30">
        <f>($L$30) * (80)</f>
        <v>0</v>
      </c>
      <c r="AK30">
        <f>($M$30) * (80)</f>
        <v>0</v>
      </c>
      <c r="AL30">
        <f>($N$30) * (225)</f>
        <v>0</v>
      </c>
      <c r="AM30">
        <f>($O$30) * (225)</f>
        <v>0</v>
      </c>
      <c r="AN30">
        <f>($P$30) * (80)</f>
        <v>0</v>
      </c>
      <c r="AO30">
        <f>($Q$30) * (80)</f>
        <v>0</v>
      </c>
      <c r="AP30">
        <f>($R$30) * (225)</f>
        <v>0</v>
      </c>
      <c r="AQ30">
        <f>($S$30) * (80)</f>
        <v>0</v>
      </c>
      <c r="AR30">
        <f>($T$30) * (80)</f>
        <v>0</v>
      </c>
      <c r="AS30">
        <f>($U$30) * (225)</f>
        <v>0</v>
      </c>
      <c r="AT30">
        <f>($V$30) * (80)</f>
        <v>0</v>
      </c>
      <c r="AU30">
        <f>($W$30) * (80)</f>
        <v>0</v>
      </c>
      <c r="AV30">
        <f>($X$30) * (225)</f>
        <v>0</v>
      </c>
      <c r="AW30">
        <f>($Y$30) * (80)</f>
        <v>0</v>
      </c>
      <c r="AX30">
        <f>($Z$30) * (295)</f>
        <v>0</v>
      </c>
      <c r="AY30">
        <f>($AA$30) * (150)</f>
        <v>0</v>
      </c>
      <c r="AZ30">
        <f>($AB$30) * (365)</f>
        <v>0</v>
      </c>
      <c r="BA30">
        <f>($AC$30) * (220)</f>
        <v>0</v>
      </c>
      <c r="BB30">
        <f>($AD$30) * (435)</f>
        <v>0</v>
      </c>
      <c r="BC30">
        <f>($AE$30) * (505)</f>
        <v>0</v>
      </c>
      <c r="BE30">
        <f>SUMPRODUCT(($B$19:$B$317) * ($AA$19:$AA$317))</f>
        <v>0</v>
      </c>
      <c r="BF30">
        <v>225</v>
      </c>
      <c r="BH30">
        <f>SUMPRODUCT(($C$19:$C$317) * ($AA$19:$AA$317))</f>
        <v>0</v>
      </c>
      <c r="BI30">
        <v>3750000</v>
      </c>
      <c r="BO30">
        <v>1</v>
      </c>
      <c r="BP30">
        <f>SUM($U$30:$AB$30)</f>
        <v>0</v>
      </c>
    </row>
    <row r="31" spans="1:68" x14ac:dyDescent="0.25">
      <c r="A31">
        <v>34</v>
      </c>
      <c r="B31">
        <v>2</v>
      </c>
      <c r="C31">
        <v>8950</v>
      </c>
      <c r="D31">
        <v>1</v>
      </c>
      <c r="E31">
        <v>6</v>
      </c>
      <c r="F31" t="s">
        <v>10</v>
      </c>
      <c r="G31">
        <v>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f>($H$31) * (225)</f>
        <v>0</v>
      </c>
      <c r="AG31">
        <f>($I$31) * (80)</f>
        <v>0</v>
      </c>
      <c r="AH31">
        <f>($J$31) * (80)</f>
        <v>0</v>
      </c>
      <c r="AI31">
        <f>($K$31) * (225)</f>
        <v>0</v>
      </c>
      <c r="AJ31">
        <f>($L$31) * (80)</f>
        <v>0</v>
      </c>
      <c r="AK31">
        <f>($M$31) * (80)</f>
        <v>0</v>
      </c>
      <c r="AL31">
        <f>($N$31) * (225)</f>
        <v>0</v>
      </c>
      <c r="AM31">
        <f>($O$31) * (295)</f>
        <v>0</v>
      </c>
      <c r="AN31">
        <f>($P$31) * (150)</f>
        <v>0</v>
      </c>
      <c r="AO31">
        <f>($Q$31) * (150)</f>
        <v>0</v>
      </c>
      <c r="AP31">
        <f>($R$31) * (365)</f>
        <v>0</v>
      </c>
      <c r="AQ31">
        <f>($S$31) * (220)</f>
        <v>0</v>
      </c>
      <c r="AR31">
        <f>($T$31) * (220)</f>
        <v>0</v>
      </c>
      <c r="AS31">
        <f>($U$31) * (435)</f>
        <v>0</v>
      </c>
      <c r="AT31">
        <f>($V$31) * (290)</f>
        <v>0</v>
      </c>
      <c r="AU31">
        <f>($W$31) * (290)</f>
        <v>0</v>
      </c>
      <c r="AV31">
        <f>($X$31) * (505)</f>
        <v>0</v>
      </c>
      <c r="AW31">
        <f>($Y$31) * (360)</f>
        <v>0</v>
      </c>
      <c r="AX31">
        <f>($Z$31) * (575)</f>
        <v>0</v>
      </c>
      <c r="AY31">
        <f>($AA$31) * (430)</f>
        <v>0</v>
      </c>
      <c r="AZ31">
        <f>($AB$31) * (645)</f>
        <v>0</v>
      </c>
      <c r="BA31">
        <f>($AC$31) * (500)</f>
        <v>0</v>
      </c>
      <c r="BB31">
        <f>($AD$31) * (715)</f>
        <v>0</v>
      </c>
      <c r="BC31">
        <f>($AE$31) * (785)</f>
        <v>0</v>
      </c>
      <c r="BE31">
        <f>SUMPRODUCT(($B$19:$B$317) * ($AC$19:$AC$317))</f>
        <v>0</v>
      </c>
      <c r="BF31">
        <v>200</v>
      </c>
      <c r="BH31">
        <f>SUMPRODUCT(($C$19:$C$317) * ($AC$19:$AC$317))</f>
        <v>0</v>
      </c>
      <c r="BI31">
        <v>3000000</v>
      </c>
      <c r="BO31">
        <v>1</v>
      </c>
      <c r="BP31">
        <f>SUM($K$31:$U$31)</f>
        <v>0</v>
      </c>
    </row>
    <row r="32" spans="1:68" x14ac:dyDescent="0.25">
      <c r="A32">
        <v>38</v>
      </c>
      <c r="B32">
        <v>2</v>
      </c>
      <c r="C32">
        <v>8950</v>
      </c>
      <c r="D32">
        <v>5</v>
      </c>
      <c r="E32">
        <v>9</v>
      </c>
      <c r="F32" t="s">
        <v>10</v>
      </c>
      <c r="G32">
        <v>4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f>($H$32) * (225)</f>
        <v>0</v>
      </c>
      <c r="AG32">
        <f>($I$32) * (80)</f>
        <v>0</v>
      </c>
      <c r="AH32">
        <f>($J$32) * (80)</f>
        <v>0</v>
      </c>
      <c r="AI32">
        <f>($K$32) * (225)</f>
        <v>0</v>
      </c>
      <c r="AJ32">
        <f>($L$32) * (80)</f>
        <v>0</v>
      </c>
      <c r="AK32">
        <f>($M$32) * (80)</f>
        <v>0</v>
      </c>
      <c r="AL32">
        <f>($N$32) * (225)</f>
        <v>0</v>
      </c>
      <c r="AM32">
        <f>($O$32) * (225)</f>
        <v>0</v>
      </c>
      <c r="AN32">
        <f>($P$32) * (80)</f>
        <v>0</v>
      </c>
      <c r="AO32">
        <f>($Q$32) * (80)</f>
        <v>0</v>
      </c>
      <c r="AP32">
        <f>($R$32) * (225)</f>
        <v>0</v>
      </c>
      <c r="AQ32">
        <f>($S$32) * (80)</f>
        <v>0</v>
      </c>
      <c r="AR32">
        <f>($T$32) * (80)</f>
        <v>0</v>
      </c>
      <c r="AS32">
        <f>($U$32) * (225)</f>
        <v>0</v>
      </c>
      <c r="AT32">
        <f>($V$32) * (80)</f>
        <v>0</v>
      </c>
      <c r="AU32">
        <f>($W$32) * (80)</f>
        <v>0</v>
      </c>
      <c r="AV32">
        <f>($X$32) * (225)</f>
        <v>0</v>
      </c>
      <c r="AW32">
        <f>($Y$32) * (80)</f>
        <v>0</v>
      </c>
      <c r="AX32">
        <f>($Z$32) * (225)</f>
        <v>0</v>
      </c>
      <c r="AY32">
        <f>($AA$32) * (80)</f>
        <v>0</v>
      </c>
      <c r="AZ32">
        <f>($AB$32) * (295)</f>
        <v>0</v>
      </c>
      <c r="BA32">
        <f>($AC$32) * (150)</f>
        <v>0</v>
      </c>
      <c r="BB32">
        <f>($AD$32) * (365)</f>
        <v>0</v>
      </c>
      <c r="BC32">
        <f>($AE$32) * (435)</f>
        <v>0</v>
      </c>
      <c r="BO32">
        <v>1</v>
      </c>
      <c r="BP32">
        <f>SUM($U$32:$AB$32)</f>
        <v>0</v>
      </c>
    </row>
    <row r="33" spans="1:68" x14ac:dyDescent="0.25">
      <c r="A33">
        <v>41</v>
      </c>
      <c r="B33">
        <v>2</v>
      </c>
      <c r="C33">
        <v>8950</v>
      </c>
      <c r="D33">
        <v>5</v>
      </c>
      <c r="E33">
        <v>9</v>
      </c>
      <c r="F33" t="s">
        <v>10</v>
      </c>
      <c r="G33">
        <v>4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f>($H$33) * (225)</f>
        <v>0</v>
      </c>
      <c r="AG33">
        <f>($I$33) * (80)</f>
        <v>0</v>
      </c>
      <c r="AH33">
        <f>($J$33) * (80)</f>
        <v>0</v>
      </c>
      <c r="AI33">
        <f>($K$33) * (225)</f>
        <v>0</v>
      </c>
      <c r="AJ33">
        <f>($L$33) * (80)</f>
        <v>0</v>
      </c>
      <c r="AK33">
        <f>($M$33) * (80)</f>
        <v>0</v>
      </c>
      <c r="AL33">
        <f>($N$33) * (225)</f>
        <v>0</v>
      </c>
      <c r="AM33">
        <f>($O$33) * (225)</f>
        <v>0</v>
      </c>
      <c r="AN33">
        <f>($P$33) * (80)</f>
        <v>0</v>
      </c>
      <c r="AO33">
        <f>($Q$33) * (80)</f>
        <v>0</v>
      </c>
      <c r="AP33">
        <f>($R$33) * (225)</f>
        <v>0</v>
      </c>
      <c r="AQ33">
        <f>($S$33) * (80)</f>
        <v>0</v>
      </c>
      <c r="AR33">
        <f>($T$33) * (80)</f>
        <v>0</v>
      </c>
      <c r="AS33">
        <f>($U$33) * (225)</f>
        <v>0</v>
      </c>
      <c r="AT33">
        <f>($V$33) * (80)</f>
        <v>0</v>
      </c>
      <c r="AU33">
        <f>($W$33) * (80)</f>
        <v>0</v>
      </c>
      <c r="AV33">
        <f>($X$33) * (225)</f>
        <v>0</v>
      </c>
      <c r="AW33">
        <f>($Y$33) * (80)</f>
        <v>0</v>
      </c>
      <c r="AX33">
        <f>($Z$33) * (225)</f>
        <v>0</v>
      </c>
      <c r="AY33">
        <f>($AA$33) * (80)</f>
        <v>0</v>
      </c>
      <c r="AZ33">
        <f>($AB$33) * (295)</f>
        <v>0</v>
      </c>
      <c r="BA33">
        <f>($AC$33) * (150)</f>
        <v>0</v>
      </c>
      <c r="BB33">
        <f>($AD$33) * (365)</f>
        <v>0</v>
      </c>
      <c r="BC33">
        <f>($AE$33) * (435)</f>
        <v>0</v>
      </c>
      <c r="BO33">
        <v>1</v>
      </c>
      <c r="BP33">
        <f>SUM($U$33:$AB$33)</f>
        <v>0</v>
      </c>
    </row>
    <row r="34" spans="1:68" x14ac:dyDescent="0.25">
      <c r="A34">
        <v>42</v>
      </c>
      <c r="B34">
        <v>2</v>
      </c>
      <c r="C34">
        <v>7226</v>
      </c>
      <c r="D34">
        <v>4</v>
      </c>
      <c r="E34">
        <v>7</v>
      </c>
      <c r="F34" t="s">
        <v>10</v>
      </c>
      <c r="G34">
        <v>4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f>($H$34) * (225)</f>
        <v>0</v>
      </c>
      <c r="AG34">
        <f>($I$34) * (80)</f>
        <v>0</v>
      </c>
      <c r="AH34">
        <f>($J$34) * (80)</f>
        <v>0</v>
      </c>
      <c r="AI34">
        <f>($K$34) * (225)</f>
        <v>0</v>
      </c>
      <c r="AJ34">
        <f>($L$34) * (80)</f>
        <v>0</v>
      </c>
      <c r="AK34">
        <f>($M$34) * (80)</f>
        <v>0</v>
      </c>
      <c r="AL34">
        <f>($N$34) * (225)</f>
        <v>0</v>
      </c>
      <c r="AM34">
        <f>($O$34) * (225)</f>
        <v>0</v>
      </c>
      <c r="AN34">
        <f>($P$34) * (80)</f>
        <v>0</v>
      </c>
      <c r="AO34">
        <f>($Q$34) * (80)</f>
        <v>0</v>
      </c>
      <c r="AP34">
        <f>($R$34) * (225)</f>
        <v>0</v>
      </c>
      <c r="AQ34">
        <f>($S$34) * (80)</f>
        <v>0</v>
      </c>
      <c r="AR34">
        <f>($T$34) * (80)</f>
        <v>0</v>
      </c>
      <c r="AS34">
        <f>($U$34) * (225)</f>
        <v>0</v>
      </c>
      <c r="AT34">
        <f>($V$34) * (80)</f>
        <v>0</v>
      </c>
      <c r="AU34">
        <f>($W$34) * (80)</f>
        <v>0</v>
      </c>
      <c r="AV34">
        <f>($X$34) * (225)</f>
        <v>0</v>
      </c>
      <c r="AW34">
        <f>($Y$34) * (80)</f>
        <v>0</v>
      </c>
      <c r="AX34">
        <f>($Z$34) * (295)</f>
        <v>0</v>
      </c>
      <c r="AY34">
        <f>($AA$34) * (150)</f>
        <v>0</v>
      </c>
      <c r="AZ34">
        <f>($AB$34) * (365)</f>
        <v>0</v>
      </c>
      <c r="BA34">
        <f>($AC$34) * (220)</f>
        <v>0</v>
      </c>
      <c r="BB34">
        <f>($AD$34) * (435)</f>
        <v>0</v>
      </c>
      <c r="BC34">
        <f>($AE$34) * (505)</f>
        <v>0</v>
      </c>
      <c r="BO34">
        <v>1</v>
      </c>
      <c r="BP34">
        <f>SUM($R$34:$X$34)</f>
        <v>0</v>
      </c>
    </row>
    <row r="35" spans="1:68" x14ac:dyDescent="0.25">
      <c r="A35">
        <v>47</v>
      </c>
      <c r="B35">
        <v>1</v>
      </c>
      <c r="C35">
        <v>7200</v>
      </c>
      <c r="D35">
        <v>3</v>
      </c>
      <c r="E35">
        <v>7</v>
      </c>
      <c r="F35" t="s">
        <v>10</v>
      </c>
      <c r="G35">
        <v>4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f>($H$35) * (225)</f>
        <v>0</v>
      </c>
      <c r="AG35">
        <f>($I$35) * (40)</f>
        <v>0</v>
      </c>
      <c r="AH35">
        <f>($J$35) * (40)</f>
        <v>0</v>
      </c>
      <c r="AI35">
        <f>($K$35) * (225)</f>
        <v>0</v>
      </c>
      <c r="AJ35">
        <f>($L$35) * (40)</f>
        <v>0</v>
      </c>
      <c r="AK35">
        <f>($M$35) * (40)</f>
        <v>0</v>
      </c>
      <c r="AL35">
        <f>($N$35) * (225)</f>
        <v>0</v>
      </c>
      <c r="AM35">
        <f>($O$35) * (225)</f>
        <v>0</v>
      </c>
      <c r="AN35">
        <f>($P$35) * (40)</f>
        <v>0</v>
      </c>
      <c r="AO35">
        <f>($Q$35) * (40)</f>
        <v>0</v>
      </c>
      <c r="AP35">
        <f>($R$35) * (225)</f>
        <v>0</v>
      </c>
      <c r="AQ35">
        <f>($S$35) * (40)</f>
        <v>0</v>
      </c>
      <c r="AR35">
        <f>($T$35) * (40)</f>
        <v>0</v>
      </c>
      <c r="AS35">
        <f>($U$35) * (225)</f>
        <v>0</v>
      </c>
      <c r="AT35">
        <f>($V$35) * (40)</f>
        <v>0</v>
      </c>
      <c r="AU35">
        <f>($W$35) * (40)</f>
        <v>0</v>
      </c>
      <c r="AV35">
        <f>($X$35) * (275)</f>
        <v>0</v>
      </c>
      <c r="AW35">
        <f>($Y$35) * (90)</f>
        <v>0</v>
      </c>
      <c r="AX35">
        <f>($Z$35) * (325)</f>
        <v>0</v>
      </c>
      <c r="AY35">
        <f>($AA$35) * (140)</f>
        <v>0</v>
      </c>
      <c r="AZ35">
        <f>($AB$35) * (375)</f>
        <v>0</v>
      </c>
      <c r="BA35">
        <f>($AC$35) * (190)</f>
        <v>0</v>
      </c>
      <c r="BB35">
        <f>($AD$35) * (425)</f>
        <v>0</v>
      </c>
      <c r="BC35">
        <f>($AE$35) * (475)</f>
        <v>0</v>
      </c>
      <c r="BO35">
        <v>1</v>
      </c>
      <c r="BP35">
        <f>SUM($O$35:$X$35)</f>
        <v>0</v>
      </c>
    </row>
    <row r="36" spans="1:68" x14ac:dyDescent="0.25">
      <c r="A36">
        <v>48</v>
      </c>
      <c r="B36">
        <v>2</v>
      </c>
      <c r="C36">
        <v>8950</v>
      </c>
      <c r="D36">
        <v>6</v>
      </c>
      <c r="E36">
        <v>11</v>
      </c>
      <c r="F36" t="s">
        <v>10</v>
      </c>
      <c r="G36">
        <v>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f>($H$36) * (225)</f>
        <v>0</v>
      </c>
      <c r="AG36">
        <f>($I$36) * (80)</f>
        <v>0</v>
      </c>
      <c r="AH36">
        <f>($J$36) * (80)</f>
        <v>0</v>
      </c>
      <c r="AI36">
        <f>($K$36) * (225)</f>
        <v>0</v>
      </c>
      <c r="AJ36">
        <f>($L$36) * (80)</f>
        <v>0</v>
      </c>
      <c r="AK36">
        <f>($M$36) * (80)</f>
        <v>0</v>
      </c>
      <c r="AL36">
        <f>($N$36) * (225)</f>
        <v>0</v>
      </c>
      <c r="AM36">
        <f>($O$36) * (225)</f>
        <v>0</v>
      </c>
      <c r="AN36">
        <f>($P$36) * (80)</f>
        <v>0</v>
      </c>
      <c r="AO36">
        <f>($Q$36) * (80)</f>
        <v>0</v>
      </c>
      <c r="AP36">
        <f>($R$36) * (225)</f>
        <v>0</v>
      </c>
      <c r="AQ36">
        <f>($S$36) * (80)</f>
        <v>0</v>
      </c>
      <c r="AR36">
        <f>($T$36) * (80)</f>
        <v>0</v>
      </c>
      <c r="AS36">
        <f>($U$36) * (225)</f>
        <v>0</v>
      </c>
      <c r="AT36">
        <f>($V$36) * (80)</f>
        <v>0</v>
      </c>
      <c r="AU36">
        <f>($W$36) * (80)</f>
        <v>0</v>
      </c>
      <c r="AV36">
        <f>($X$36) * (225)</f>
        <v>0</v>
      </c>
      <c r="AW36">
        <f>($Y$36) * (80)</f>
        <v>0</v>
      </c>
      <c r="AX36">
        <f>($Z$36) * (225)</f>
        <v>0</v>
      </c>
      <c r="AY36">
        <f>($AA$36) * (80)</f>
        <v>0</v>
      </c>
      <c r="AZ36">
        <f>($AB$36) * (225)</f>
        <v>0</v>
      </c>
      <c r="BA36">
        <f>($AC$36) * (80)</f>
        <v>0</v>
      </c>
      <c r="BB36">
        <f>($AD$36) * (225)</f>
        <v>0</v>
      </c>
      <c r="BC36">
        <f>($AE$36) * (295)</f>
        <v>0</v>
      </c>
      <c r="BO36">
        <v>1</v>
      </c>
      <c r="BP36">
        <f>SUM($X$36:$AE$36)</f>
        <v>0</v>
      </c>
    </row>
    <row r="37" spans="1:68" x14ac:dyDescent="0.25">
      <c r="A37">
        <v>55</v>
      </c>
      <c r="B37">
        <v>2</v>
      </c>
      <c r="C37">
        <v>24200</v>
      </c>
      <c r="D37">
        <v>3</v>
      </c>
      <c r="E37">
        <v>6</v>
      </c>
      <c r="F37" t="s">
        <v>10</v>
      </c>
      <c r="G37">
        <v>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f>($H$37) * (225)</f>
        <v>0</v>
      </c>
      <c r="AG37">
        <f>($I$37) * (80)</f>
        <v>0</v>
      </c>
      <c r="AH37">
        <f>($J$37) * (80)</f>
        <v>0</v>
      </c>
      <c r="AI37">
        <f>($K$37) * (225)</f>
        <v>0</v>
      </c>
      <c r="AJ37">
        <f>($L$37) * (80)</f>
        <v>0</v>
      </c>
      <c r="AK37">
        <f>($M$37) * (80)</f>
        <v>0</v>
      </c>
      <c r="AL37">
        <f>($N$37) * (225)</f>
        <v>0</v>
      </c>
      <c r="AM37">
        <f>($O$37) * (225)</f>
        <v>0</v>
      </c>
      <c r="AN37">
        <f>($P$37) * (80)</f>
        <v>0</v>
      </c>
      <c r="AO37">
        <f>($Q$37) * (80)</f>
        <v>0</v>
      </c>
      <c r="AP37">
        <f>($R$37) * (225)</f>
        <v>0</v>
      </c>
      <c r="AQ37">
        <f>($S$37) * (80)</f>
        <v>0</v>
      </c>
      <c r="AR37">
        <f>($T$37) * (80)</f>
        <v>0</v>
      </c>
      <c r="AS37">
        <f>($U$37) * (295)</f>
        <v>0</v>
      </c>
      <c r="AT37">
        <f>($V$37) * (150)</f>
        <v>0</v>
      </c>
      <c r="AU37">
        <f>($W$37) * (150)</f>
        <v>0</v>
      </c>
      <c r="AV37">
        <f>($X$37) * (365)</f>
        <v>0</v>
      </c>
      <c r="AW37">
        <f>($Y$37) * (220)</f>
        <v>0</v>
      </c>
      <c r="AX37">
        <f>($Z$37) * (435)</f>
        <v>0</v>
      </c>
      <c r="AY37">
        <f>($AA$37) * (290)</f>
        <v>0</v>
      </c>
      <c r="AZ37">
        <f>($AB$37) * (505)</f>
        <v>0</v>
      </c>
      <c r="BA37">
        <f>($AC$37) * (360)</f>
        <v>0</v>
      </c>
      <c r="BB37">
        <f>($AD$37) * (575)</f>
        <v>0</v>
      </c>
      <c r="BC37">
        <f>($AE$37) * (645)</f>
        <v>0</v>
      </c>
      <c r="BO37">
        <v>1</v>
      </c>
      <c r="BP37">
        <f>SUM($O$37:$U$37)</f>
        <v>0</v>
      </c>
    </row>
    <row r="38" spans="1:68" x14ac:dyDescent="0.25">
      <c r="A38">
        <v>59</v>
      </c>
      <c r="B38">
        <v>2</v>
      </c>
      <c r="C38">
        <v>16200</v>
      </c>
      <c r="D38">
        <v>4</v>
      </c>
      <c r="E38">
        <v>7</v>
      </c>
      <c r="F38" t="s">
        <v>10</v>
      </c>
      <c r="G38">
        <v>3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f>($H$38) * (225)</f>
        <v>0</v>
      </c>
      <c r="AG38">
        <f>($I$38) * (80)</f>
        <v>0</v>
      </c>
      <c r="AH38">
        <f>($J$38) * (80)</f>
        <v>0</v>
      </c>
      <c r="AI38">
        <f>($K$38) * (225)</f>
        <v>0</v>
      </c>
      <c r="AJ38">
        <f>($L$38) * (80)</f>
        <v>0</v>
      </c>
      <c r="AK38">
        <f>($M$38) * (80)</f>
        <v>0</v>
      </c>
      <c r="AL38">
        <f>($N$38) * (225)</f>
        <v>0</v>
      </c>
      <c r="AM38">
        <f>($O$38) * (225)</f>
        <v>0</v>
      </c>
      <c r="AN38">
        <f>($P$38) * (80)</f>
        <v>0</v>
      </c>
      <c r="AO38">
        <f>($Q$38) * (80)</f>
        <v>0</v>
      </c>
      <c r="AP38">
        <f>($R$38) * (225)</f>
        <v>0</v>
      </c>
      <c r="AQ38">
        <f>($S$38) * (80)</f>
        <v>0</v>
      </c>
      <c r="AR38">
        <f>($T$38) * (80)</f>
        <v>0</v>
      </c>
      <c r="AS38">
        <f>($U$38) * (225)</f>
        <v>0</v>
      </c>
      <c r="AT38">
        <f>($V$38) * (80)</f>
        <v>0</v>
      </c>
      <c r="AU38">
        <f>($W$38) * (80)</f>
        <v>0</v>
      </c>
      <c r="AV38">
        <f>($X$38) * (295)</f>
        <v>0</v>
      </c>
      <c r="AW38">
        <f>($Y$38) * (150)</f>
        <v>0</v>
      </c>
      <c r="AX38">
        <f>($Z$38) * (365)</f>
        <v>0</v>
      </c>
      <c r="AY38">
        <f>($AA$38) * (220)</f>
        <v>0</v>
      </c>
      <c r="AZ38">
        <f>($AB$38) * (435)</f>
        <v>0</v>
      </c>
      <c r="BA38">
        <f>($AC$38) * (290)</f>
        <v>0</v>
      </c>
      <c r="BB38">
        <f>($AD$38) * (505)</f>
        <v>0</v>
      </c>
      <c r="BC38">
        <f>($AE$38) * (575)</f>
        <v>0</v>
      </c>
      <c r="BO38">
        <v>1</v>
      </c>
      <c r="BP38">
        <f>SUM($R$38:$X$38)</f>
        <v>0</v>
      </c>
    </row>
    <row r="39" spans="1:68" x14ac:dyDescent="0.25">
      <c r="A39">
        <v>63</v>
      </c>
      <c r="B39">
        <v>2</v>
      </c>
      <c r="C39">
        <v>9200</v>
      </c>
      <c r="D39">
        <v>4</v>
      </c>
      <c r="E39">
        <v>8</v>
      </c>
      <c r="F39" t="s">
        <v>10</v>
      </c>
      <c r="G39">
        <v>4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f>($H$39) * (225)</f>
        <v>0</v>
      </c>
      <c r="AG39">
        <f>($I$39) * (80)</f>
        <v>0</v>
      </c>
      <c r="AH39">
        <f>($J$39) * (80)</f>
        <v>0</v>
      </c>
      <c r="AI39">
        <f>($K$39) * (225)</f>
        <v>0</v>
      </c>
      <c r="AJ39">
        <f>($L$39) * (80)</f>
        <v>0</v>
      </c>
      <c r="AK39">
        <f>($M$39) * (80)</f>
        <v>0</v>
      </c>
      <c r="AL39">
        <f>($N$39) * (225)</f>
        <v>0</v>
      </c>
      <c r="AM39">
        <f>($O$39) * (225)</f>
        <v>0</v>
      </c>
      <c r="AN39">
        <f>($P$39) * (80)</f>
        <v>0</v>
      </c>
      <c r="AO39">
        <f>($Q$39) * (80)</f>
        <v>0</v>
      </c>
      <c r="AP39">
        <f>($R$39) * (225)</f>
        <v>0</v>
      </c>
      <c r="AQ39">
        <f>($S$39) * (80)</f>
        <v>0</v>
      </c>
      <c r="AR39">
        <f>($T$39) * (80)</f>
        <v>0</v>
      </c>
      <c r="AS39">
        <f>($U$39) * (225)</f>
        <v>0</v>
      </c>
      <c r="AT39">
        <f>($V$39) * (80)</f>
        <v>0</v>
      </c>
      <c r="AU39">
        <f>($W$39) * (80)</f>
        <v>0</v>
      </c>
      <c r="AV39">
        <f>($X$39) * (225)</f>
        <v>0</v>
      </c>
      <c r="AW39">
        <f>($Y$39) * (80)</f>
        <v>0</v>
      </c>
      <c r="AX39">
        <f>($Z$39) * (295)</f>
        <v>0</v>
      </c>
      <c r="AY39">
        <f>($AA$39) * (150)</f>
        <v>0</v>
      </c>
      <c r="AZ39">
        <f>($AB$39) * (365)</f>
        <v>0</v>
      </c>
      <c r="BA39">
        <f>($AC$39) * (220)</f>
        <v>0</v>
      </c>
      <c r="BB39">
        <f>($AD$39) * (435)</f>
        <v>0</v>
      </c>
      <c r="BC39">
        <f>($AE$39) * (505)</f>
        <v>0</v>
      </c>
      <c r="BO39">
        <v>1</v>
      </c>
      <c r="BP39">
        <f>SUM($R$39:$Z$39)</f>
        <v>0</v>
      </c>
    </row>
    <row r="40" spans="1:68" x14ac:dyDescent="0.25">
      <c r="A40">
        <v>66</v>
      </c>
      <c r="B40">
        <v>2</v>
      </c>
      <c r="C40">
        <v>9200</v>
      </c>
      <c r="D40">
        <v>3</v>
      </c>
      <c r="E40">
        <v>6</v>
      </c>
      <c r="F40" t="s">
        <v>10</v>
      </c>
      <c r="G40">
        <v>3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f>($H$40) * (225)</f>
        <v>0</v>
      </c>
      <c r="AG40">
        <f>($I$40) * (80)</f>
        <v>0</v>
      </c>
      <c r="AH40">
        <f>($J$40) * (80)</f>
        <v>0</v>
      </c>
      <c r="AI40">
        <f>($K$40) * (225)</f>
        <v>0</v>
      </c>
      <c r="AJ40">
        <f>($L$40) * (80)</f>
        <v>0</v>
      </c>
      <c r="AK40">
        <f>($M$40) * (80)</f>
        <v>0</v>
      </c>
      <c r="AL40">
        <f>($N$40) * (225)</f>
        <v>0</v>
      </c>
      <c r="AM40">
        <f>($O$40) * (225)</f>
        <v>0</v>
      </c>
      <c r="AN40">
        <f>($P$40) * (80)</f>
        <v>0</v>
      </c>
      <c r="AO40">
        <f>($Q$40) * (80)</f>
        <v>0</v>
      </c>
      <c r="AP40">
        <f>($R$40) * (225)</f>
        <v>0</v>
      </c>
      <c r="AQ40">
        <f>($S$40) * (80)</f>
        <v>0</v>
      </c>
      <c r="AR40">
        <f>($T$40) * (80)</f>
        <v>0</v>
      </c>
      <c r="AS40">
        <f>($U$40) * (295)</f>
        <v>0</v>
      </c>
      <c r="AT40">
        <f>($V$40) * (150)</f>
        <v>0</v>
      </c>
      <c r="AU40">
        <f>($W$40) * (150)</f>
        <v>0</v>
      </c>
      <c r="AV40">
        <f>($X$40) * (365)</f>
        <v>0</v>
      </c>
      <c r="AW40">
        <f>($Y$40) * (220)</f>
        <v>0</v>
      </c>
      <c r="AX40">
        <f>($Z$40) * (435)</f>
        <v>0</v>
      </c>
      <c r="AY40">
        <f>($AA$40) * (290)</f>
        <v>0</v>
      </c>
      <c r="AZ40">
        <f>($AB$40) * (505)</f>
        <v>0</v>
      </c>
      <c r="BA40">
        <f>($AC$40) * (360)</f>
        <v>0</v>
      </c>
      <c r="BB40">
        <f>($AD$40) * (575)</f>
        <v>0</v>
      </c>
      <c r="BC40">
        <f>($AE$40) * (645)</f>
        <v>0</v>
      </c>
      <c r="BO40">
        <v>1</v>
      </c>
      <c r="BP40">
        <f>SUM($O$40:$U$40)</f>
        <v>0</v>
      </c>
    </row>
    <row r="41" spans="1:68" x14ac:dyDescent="0.25">
      <c r="A41">
        <v>68</v>
      </c>
      <c r="B41">
        <v>2</v>
      </c>
      <c r="C41">
        <v>12456</v>
      </c>
      <c r="D41">
        <v>0</v>
      </c>
      <c r="E41">
        <v>5</v>
      </c>
      <c r="F41" t="s">
        <v>10</v>
      </c>
      <c r="G41">
        <v>3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f>($H$41) * (225)</f>
        <v>0</v>
      </c>
      <c r="AG41">
        <f>($I$41) * (80)</f>
        <v>0</v>
      </c>
      <c r="AH41">
        <f>($J$41) * (80)</f>
        <v>0</v>
      </c>
      <c r="AI41">
        <f>($K$41) * (225)</f>
        <v>0</v>
      </c>
      <c r="AJ41">
        <f>($L$41) * (80)</f>
        <v>0</v>
      </c>
      <c r="AK41">
        <f>($M$41) * (80)</f>
        <v>0</v>
      </c>
      <c r="AL41">
        <f>($N$41) * (295)</f>
        <v>0</v>
      </c>
      <c r="AM41">
        <f>($O$41) * (365)</f>
        <v>0</v>
      </c>
      <c r="AN41">
        <f>($P$41) * (220)</f>
        <v>0</v>
      </c>
      <c r="AO41">
        <f>($Q$41) * (220)</f>
        <v>0</v>
      </c>
      <c r="AP41">
        <f>($R$41) * (435)</f>
        <v>0</v>
      </c>
      <c r="AQ41">
        <f>($S$41) * (290)</f>
        <v>0</v>
      </c>
      <c r="AR41">
        <f>($T$41) * (290)</f>
        <v>0</v>
      </c>
      <c r="AS41">
        <f>($U$41) * (505)</f>
        <v>0</v>
      </c>
      <c r="AT41">
        <f>($V$41) * (360)</f>
        <v>0</v>
      </c>
      <c r="AU41">
        <f>($W$41) * (360)</f>
        <v>0</v>
      </c>
      <c r="AV41">
        <f>($X$41) * (575)</f>
        <v>0</v>
      </c>
      <c r="AW41">
        <f>($Y$41) * (430)</f>
        <v>0</v>
      </c>
      <c r="AX41">
        <f>($Z$41) * (645)</f>
        <v>0</v>
      </c>
      <c r="AY41">
        <f>($AA$41) * (500)</f>
        <v>0</v>
      </c>
      <c r="AZ41">
        <f>($AB$41) * (715)</f>
        <v>0</v>
      </c>
      <c r="BA41">
        <f>($AC$41) * (570)</f>
        <v>0</v>
      </c>
      <c r="BB41">
        <f>($AD$41) * (785)</f>
        <v>0</v>
      </c>
      <c r="BC41">
        <f>($AE$41) * (855)</f>
        <v>0</v>
      </c>
      <c r="BO41">
        <v>1</v>
      </c>
      <c r="BP41">
        <f>SUM($H$41:$R$41)</f>
        <v>0</v>
      </c>
    </row>
    <row r="42" spans="1:68" x14ac:dyDescent="0.25">
      <c r="A42">
        <v>71</v>
      </c>
      <c r="B42">
        <v>2</v>
      </c>
      <c r="C42">
        <v>12450</v>
      </c>
      <c r="D42">
        <v>4</v>
      </c>
      <c r="E42">
        <v>8</v>
      </c>
      <c r="F42" t="s">
        <v>10</v>
      </c>
      <c r="G42">
        <v>5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f>($H$42) * (225)</f>
        <v>0</v>
      </c>
      <c r="AG42">
        <f>($I$42) * (80)</f>
        <v>0</v>
      </c>
      <c r="AH42">
        <f>($J$42) * (80)</f>
        <v>0</v>
      </c>
      <c r="AI42">
        <f>($K$42) * (225)</f>
        <v>0</v>
      </c>
      <c r="AJ42">
        <f>($L$42) * (80)</f>
        <v>0</v>
      </c>
      <c r="AK42">
        <f>($M$42) * (80)</f>
        <v>0</v>
      </c>
      <c r="AL42">
        <f>($N$42) * (225)</f>
        <v>0</v>
      </c>
      <c r="AM42">
        <f>($O$42) * (225)</f>
        <v>0</v>
      </c>
      <c r="AN42">
        <f>($P$42) * (80)</f>
        <v>0</v>
      </c>
      <c r="AO42">
        <f>($Q$42) * (80)</f>
        <v>0</v>
      </c>
      <c r="AP42">
        <f>($R$42) * (225)</f>
        <v>0</v>
      </c>
      <c r="AQ42">
        <f>($S$42) * (80)</f>
        <v>0</v>
      </c>
      <c r="AR42">
        <f>($T$42) * (80)</f>
        <v>0</v>
      </c>
      <c r="AS42">
        <f>($U$42) * (225)</f>
        <v>0</v>
      </c>
      <c r="AT42">
        <f>($V$42) * (80)</f>
        <v>0</v>
      </c>
      <c r="AU42">
        <f>($W$42) * (80)</f>
        <v>0</v>
      </c>
      <c r="AV42">
        <f>($X$42) * (225)</f>
        <v>0</v>
      </c>
      <c r="AW42">
        <f>($Y$42) * (80)</f>
        <v>0</v>
      </c>
      <c r="AX42">
        <f>($Z$42) * (225)</f>
        <v>0</v>
      </c>
      <c r="AY42">
        <f>($AA$42) * (80)</f>
        <v>0</v>
      </c>
      <c r="AZ42">
        <f>($AB$42) * (295)</f>
        <v>0</v>
      </c>
      <c r="BA42">
        <f>($AC$42) * (150)</f>
        <v>0</v>
      </c>
      <c r="BB42">
        <f>($AD$42) * (365)</f>
        <v>0</v>
      </c>
      <c r="BC42">
        <f>($AE$42) * (435)</f>
        <v>0</v>
      </c>
      <c r="BO42">
        <v>1</v>
      </c>
      <c r="BP42">
        <f>SUM($R$42:$Z$42)</f>
        <v>0</v>
      </c>
    </row>
    <row r="43" spans="1:68" x14ac:dyDescent="0.25">
      <c r="A43">
        <v>73</v>
      </c>
      <c r="B43">
        <v>2</v>
      </c>
      <c r="C43">
        <v>18950</v>
      </c>
      <c r="D43">
        <v>4</v>
      </c>
      <c r="E43">
        <v>9</v>
      </c>
      <c r="F43" t="s">
        <v>10</v>
      </c>
      <c r="G43">
        <v>4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f>($H$43) * (225)</f>
        <v>0</v>
      </c>
      <c r="AG43">
        <f>($I$43) * (80)</f>
        <v>0</v>
      </c>
      <c r="AH43">
        <f>($J$43) * (80)</f>
        <v>0</v>
      </c>
      <c r="AI43">
        <f>($K$43) * (225)</f>
        <v>0</v>
      </c>
      <c r="AJ43">
        <f>($L$43) * (80)</f>
        <v>0</v>
      </c>
      <c r="AK43">
        <f>($M$43) * (80)</f>
        <v>0</v>
      </c>
      <c r="AL43">
        <f>($N$43) * (225)</f>
        <v>0</v>
      </c>
      <c r="AM43">
        <f>($O$43) * (225)</f>
        <v>0</v>
      </c>
      <c r="AN43">
        <f>($P$43) * (80)</f>
        <v>0</v>
      </c>
      <c r="AO43">
        <f>($Q$43) * (80)</f>
        <v>0</v>
      </c>
      <c r="AP43">
        <f>($R$43) * (225)</f>
        <v>0</v>
      </c>
      <c r="AQ43">
        <f>($S$43) * (80)</f>
        <v>0</v>
      </c>
      <c r="AR43">
        <f>($T$43) * (80)</f>
        <v>0</v>
      </c>
      <c r="AS43">
        <f>($U$43) * (225)</f>
        <v>0</v>
      </c>
      <c r="AT43">
        <f>($V$43) * (80)</f>
        <v>0</v>
      </c>
      <c r="AU43">
        <f>($W$43) * (80)</f>
        <v>0</v>
      </c>
      <c r="AV43">
        <f>($X$43) * (225)</f>
        <v>0</v>
      </c>
      <c r="AW43">
        <f>($Y$43) * (80)</f>
        <v>0</v>
      </c>
      <c r="AX43">
        <f>($Z$43) * (295)</f>
        <v>0</v>
      </c>
      <c r="AY43">
        <f>($AA$43) * (150)</f>
        <v>0</v>
      </c>
      <c r="AZ43">
        <f>($AB$43) * (365)</f>
        <v>0</v>
      </c>
      <c r="BA43">
        <f>($AC$43) * (220)</f>
        <v>0</v>
      </c>
      <c r="BB43">
        <f>($AD$43) * (435)</f>
        <v>0</v>
      </c>
      <c r="BC43">
        <f>($AE$43) * (505)</f>
        <v>0</v>
      </c>
      <c r="BO43">
        <v>1</v>
      </c>
      <c r="BP43">
        <f>SUM($R$43:$AB$43)</f>
        <v>0</v>
      </c>
    </row>
    <row r="44" spans="1:68" x14ac:dyDescent="0.25">
      <c r="A44">
        <v>74</v>
      </c>
      <c r="B44">
        <v>1</v>
      </c>
      <c r="C44">
        <v>2315</v>
      </c>
      <c r="D44">
        <v>4</v>
      </c>
      <c r="E44">
        <v>9</v>
      </c>
      <c r="F44" t="s">
        <v>10</v>
      </c>
      <c r="G44">
        <v>3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f>($H$44) * (225)</f>
        <v>0</v>
      </c>
      <c r="AG44">
        <f>($I$44) * (40)</f>
        <v>0</v>
      </c>
      <c r="AH44">
        <f>($J$44) * (40)</f>
        <v>0</v>
      </c>
      <c r="AI44">
        <f>($K$44) * (225)</f>
        <v>0</v>
      </c>
      <c r="AJ44">
        <f>($L$44) * (40)</f>
        <v>0</v>
      </c>
      <c r="AK44">
        <f>($M$44) * (40)</f>
        <v>0</v>
      </c>
      <c r="AL44">
        <f>($N$44) * (225)</f>
        <v>0</v>
      </c>
      <c r="AM44">
        <f>($O$44) * (225)</f>
        <v>0</v>
      </c>
      <c r="AN44">
        <f>($P$44) * (40)</f>
        <v>0</v>
      </c>
      <c r="AO44">
        <f>($Q$44) * (40)</f>
        <v>0</v>
      </c>
      <c r="AP44">
        <f>($R$44) * (225)</f>
        <v>0</v>
      </c>
      <c r="AQ44">
        <f>($S$44) * (40)</f>
        <v>0</v>
      </c>
      <c r="AR44">
        <f>($T$44) * (40)</f>
        <v>0</v>
      </c>
      <c r="AS44">
        <f>($U$44) * (225)</f>
        <v>0</v>
      </c>
      <c r="AT44">
        <f>($V$44) * (40)</f>
        <v>0</v>
      </c>
      <c r="AU44">
        <f>($W$44) * (40)</f>
        <v>0</v>
      </c>
      <c r="AV44">
        <f>($X$44) * (275)</f>
        <v>0</v>
      </c>
      <c r="AW44">
        <f>($Y$44) * (90)</f>
        <v>0</v>
      </c>
      <c r="AX44">
        <f>($Z$44) * (325)</f>
        <v>0</v>
      </c>
      <c r="AY44">
        <f>($AA$44) * (140)</f>
        <v>0</v>
      </c>
      <c r="AZ44">
        <f>($AB$44) * (375)</f>
        <v>0</v>
      </c>
      <c r="BA44">
        <f>($AC$44) * (190)</f>
        <v>0</v>
      </c>
      <c r="BB44">
        <f>($AD$44) * (425)</f>
        <v>0</v>
      </c>
      <c r="BC44">
        <f>($AE$44) * (475)</f>
        <v>0</v>
      </c>
      <c r="BO44">
        <v>1</v>
      </c>
      <c r="BP44">
        <f>SUM($R$44:$AB$44)</f>
        <v>0</v>
      </c>
    </row>
    <row r="45" spans="1:68" x14ac:dyDescent="0.25">
      <c r="A45">
        <v>80</v>
      </c>
      <c r="B45">
        <v>2</v>
      </c>
      <c r="C45">
        <v>10032</v>
      </c>
      <c r="D45">
        <v>3</v>
      </c>
      <c r="E45">
        <v>8</v>
      </c>
      <c r="F45" t="s">
        <v>10</v>
      </c>
      <c r="G45">
        <v>3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f>($H$45) * (225)</f>
        <v>0</v>
      </c>
      <c r="AG45">
        <f>($I$45) * (80)</f>
        <v>0</v>
      </c>
      <c r="AH45">
        <f>($J$45) * (80)</f>
        <v>0</v>
      </c>
      <c r="AI45">
        <f>($K$45) * (225)</f>
        <v>0</v>
      </c>
      <c r="AJ45">
        <f>($L$45) * (80)</f>
        <v>0</v>
      </c>
      <c r="AK45">
        <f>($M$45) * (80)</f>
        <v>0</v>
      </c>
      <c r="AL45">
        <f>($N$45) * (225)</f>
        <v>0</v>
      </c>
      <c r="AM45">
        <f>($O$45) * (225)</f>
        <v>0</v>
      </c>
      <c r="AN45">
        <f>($P$45) * (80)</f>
        <v>0</v>
      </c>
      <c r="AO45">
        <f>($Q$45) * (80)</f>
        <v>0</v>
      </c>
      <c r="AP45">
        <f>($R$45) * (225)</f>
        <v>0</v>
      </c>
      <c r="AQ45">
        <f>($S$45) * (80)</f>
        <v>0</v>
      </c>
      <c r="AR45">
        <f>($T$45) * (80)</f>
        <v>0</v>
      </c>
      <c r="AS45">
        <f>($U$45) * (295)</f>
        <v>0</v>
      </c>
      <c r="AT45">
        <f>($V$45) * (150)</f>
        <v>0</v>
      </c>
      <c r="AU45">
        <f>($W$45) * (150)</f>
        <v>0</v>
      </c>
      <c r="AV45">
        <f>($X$45) * (365)</f>
        <v>0</v>
      </c>
      <c r="AW45">
        <f>($Y$45) * (220)</f>
        <v>0</v>
      </c>
      <c r="AX45">
        <f>($Z$45) * (435)</f>
        <v>0</v>
      </c>
      <c r="AY45">
        <f>($AA$45) * (290)</f>
        <v>0</v>
      </c>
      <c r="AZ45">
        <f>($AB$45) * (505)</f>
        <v>0</v>
      </c>
      <c r="BA45">
        <f>($AC$45) * (360)</f>
        <v>0</v>
      </c>
      <c r="BB45">
        <f>($AD$45) * (575)</f>
        <v>0</v>
      </c>
      <c r="BC45">
        <f>($AE$45) * (645)</f>
        <v>0</v>
      </c>
      <c r="BO45">
        <v>1</v>
      </c>
      <c r="BP45">
        <f>SUM($O$45:$Z$45)</f>
        <v>0</v>
      </c>
    </row>
    <row r="46" spans="1:68" x14ac:dyDescent="0.25">
      <c r="A46">
        <v>85</v>
      </c>
      <c r="B46">
        <v>1</v>
      </c>
      <c r="C46">
        <v>14660</v>
      </c>
      <c r="D46">
        <v>4</v>
      </c>
      <c r="E46">
        <v>7</v>
      </c>
      <c r="F46" t="s">
        <v>10</v>
      </c>
      <c r="G46">
        <v>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f>($H$46) * (225)</f>
        <v>0</v>
      </c>
      <c r="AG46">
        <f>($I$46) * (40)</f>
        <v>0</v>
      </c>
      <c r="AH46">
        <f>($J$46) * (40)</f>
        <v>0</v>
      </c>
      <c r="AI46">
        <f>($K$46) * (225)</f>
        <v>0</v>
      </c>
      <c r="AJ46">
        <f>($L$46) * (40)</f>
        <v>0</v>
      </c>
      <c r="AK46">
        <f>($M$46) * (40)</f>
        <v>0</v>
      </c>
      <c r="AL46">
        <f>($N$46) * (225)</f>
        <v>0</v>
      </c>
      <c r="AM46">
        <f>($O$46) * (225)</f>
        <v>0</v>
      </c>
      <c r="AN46">
        <f>($P$46) * (40)</f>
        <v>0</v>
      </c>
      <c r="AO46">
        <f>($Q$46) * (40)</f>
        <v>0</v>
      </c>
      <c r="AP46">
        <f>($R$46) * (225)</f>
        <v>0</v>
      </c>
      <c r="AQ46">
        <f>($S$46) * (40)</f>
        <v>0</v>
      </c>
      <c r="AR46">
        <f>($T$46) * (40)</f>
        <v>0</v>
      </c>
      <c r="AS46">
        <f>($U$46) * (225)</f>
        <v>0</v>
      </c>
      <c r="AT46">
        <f>($V$46) * (40)</f>
        <v>0</v>
      </c>
      <c r="AU46">
        <f>($W$46) * (40)</f>
        <v>0</v>
      </c>
      <c r="AV46">
        <f>($X$46) * (225)</f>
        <v>0</v>
      </c>
      <c r="AW46">
        <f>($Y$46) * (40)</f>
        <v>0</v>
      </c>
      <c r="AX46">
        <f>($Z$46) * (225)</f>
        <v>0</v>
      </c>
      <c r="AY46">
        <f>($AA$46) * (40)</f>
        <v>0</v>
      </c>
      <c r="AZ46">
        <f>($AB$46) * (275)</f>
        <v>0</v>
      </c>
      <c r="BA46">
        <f>($AC$46) * (90)</f>
        <v>0</v>
      </c>
      <c r="BB46">
        <f>($AD$46) * (325)</f>
        <v>0</v>
      </c>
      <c r="BC46">
        <f>($AE$46) * (375)</f>
        <v>0</v>
      </c>
      <c r="BO46">
        <v>1</v>
      </c>
      <c r="BP46">
        <f>SUM($R$46:$X$46)</f>
        <v>0</v>
      </c>
    </row>
    <row r="47" spans="1:68" x14ac:dyDescent="0.25">
      <c r="A47">
        <v>88</v>
      </c>
      <c r="B47">
        <v>2</v>
      </c>
      <c r="C47">
        <v>30696</v>
      </c>
      <c r="D47">
        <v>4</v>
      </c>
      <c r="E47">
        <v>8</v>
      </c>
      <c r="F47" t="s">
        <v>10</v>
      </c>
      <c r="G47">
        <v>4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f>($H$47) * (225)</f>
        <v>0</v>
      </c>
      <c r="AG47">
        <f>($I$47) * (80)</f>
        <v>0</v>
      </c>
      <c r="AH47">
        <f>($J$47) * (80)</f>
        <v>0</v>
      </c>
      <c r="AI47">
        <f>($K$47) * (225)</f>
        <v>0</v>
      </c>
      <c r="AJ47">
        <f>($L$47) * (80)</f>
        <v>0</v>
      </c>
      <c r="AK47">
        <f>($M$47) * (80)</f>
        <v>0</v>
      </c>
      <c r="AL47">
        <f>($N$47) * (225)</f>
        <v>0</v>
      </c>
      <c r="AM47">
        <f>($O$47) * (225)</f>
        <v>0</v>
      </c>
      <c r="AN47">
        <f>($P$47) * (80)</f>
        <v>0</v>
      </c>
      <c r="AO47">
        <f>($Q$47) * (80)</f>
        <v>0</v>
      </c>
      <c r="AP47">
        <f>($R$47) * (225)</f>
        <v>0</v>
      </c>
      <c r="AQ47">
        <f>($S$47) * (80)</f>
        <v>0</v>
      </c>
      <c r="AR47">
        <f>($T$47) * (80)</f>
        <v>0</v>
      </c>
      <c r="AS47">
        <f>($U$47) * (225)</f>
        <v>0</v>
      </c>
      <c r="AT47">
        <f>($V$47) * (80)</f>
        <v>0</v>
      </c>
      <c r="AU47">
        <f>($W$47) * (80)</f>
        <v>0</v>
      </c>
      <c r="AV47">
        <f>($X$47) * (225)</f>
        <v>0</v>
      </c>
      <c r="AW47">
        <f>($Y$47) * (80)</f>
        <v>0</v>
      </c>
      <c r="AX47">
        <f>($Z$47) * (295)</f>
        <v>0</v>
      </c>
      <c r="AY47">
        <f>($AA$47) * (150)</f>
        <v>0</v>
      </c>
      <c r="AZ47">
        <f>($AB$47) * (365)</f>
        <v>0</v>
      </c>
      <c r="BA47">
        <f>($AC$47) * (220)</f>
        <v>0</v>
      </c>
      <c r="BB47">
        <f>($AD$47) * (435)</f>
        <v>0</v>
      </c>
      <c r="BC47">
        <f>($AE$47) * (505)</f>
        <v>0</v>
      </c>
      <c r="BO47">
        <v>1</v>
      </c>
      <c r="BP47">
        <f>SUM($R$47:$Z$47)</f>
        <v>0</v>
      </c>
    </row>
    <row r="48" spans="1:68" x14ac:dyDescent="0.25">
      <c r="A48">
        <v>94</v>
      </c>
      <c r="B48">
        <v>2</v>
      </c>
      <c r="C48">
        <v>22358</v>
      </c>
      <c r="D48">
        <v>6</v>
      </c>
      <c r="E48">
        <v>11</v>
      </c>
      <c r="F48" t="s">
        <v>10</v>
      </c>
      <c r="G48">
        <v>4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f>($H$48) * (225)</f>
        <v>0</v>
      </c>
      <c r="AG48">
        <f>($I$48) * (80)</f>
        <v>0</v>
      </c>
      <c r="AH48">
        <f>($J$48) * (80)</f>
        <v>0</v>
      </c>
      <c r="AI48">
        <f>($K$48) * (225)</f>
        <v>0</v>
      </c>
      <c r="AJ48">
        <f>($L$48) * (80)</f>
        <v>0</v>
      </c>
      <c r="AK48">
        <f>($M$48) * (80)</f>
        <v>0</v>
      </c>
      <c r="AL48">
        <f>($N$48) * (225)</f>
        <v>0</v>
      </c>
      <c r="AM48">
        <f>($O$48) * (225)</f>
        <v>0</v>
      </c>
      <c r="AN48">
        <f>($P$48) * (80)</f>
        <v>0</v>
      </c>
      <c r="AO48">
        <f>($Q$48) * (80)</f>
        <v>0</v>
      </c>
      <c r="AP48">
        <f>($R$48) * (225)</f>
        <v>0</v>
      </c>
      <c r="AQ48">
        <f>($S$48) * (80)</f>
        <v>0</v>
      </c>
      <c r="AR48">
        <f>($T$48) * (80)</f>
        <v>0</v>
      </c>
      <c r="AS48">
        <f>($U$48) * (225)</f>
        <v>0</v>
      </c>
      <c r="AT48">
        <f>($V$48) * (80)</f>
        <v>0</v>
      </c>
      <c r="AU48">
        <f>($W$48) * (80)</f>
        <v>0</v>
      </c>
      <c r="AV48">
        <f>($X$48) * (225)</f>
        <v>0</v>
      </c>
      <c r="AW48">
        <f>($Y$48) * (80)</f>
        <v>0</v>
      </c>
      <c r="AX48">
        <f>($Z$48) * (225)</f>
        <v>0</v>
      </c>
      <c r="AY48">
        <f>($AA$48) * (80)</f>
        <v>0</v>
      </c>
      <c r="AZ48">
        <f>($AB$48) * (225)</f>
        <v>0</v>
      </c>
      <c r="BA48">
        <f>($AC$48) * (80)</f>
        <v>0</v>
      </c>
      <c r="BB48">
        <f>($AD$48) * (295)</f>
        <v>0</v>
      </c>
      <c r="BC48">
        <f>($AE$48) * (365)</f>
        <v>0</v>
      </c>
      <c r="BO48">
        <v>1</v>
      </c>
      <c r="BP48">
        <f>SUM($X$48:$AE$48)</f>
        <v>0</v>
      </c>
    </row>
    <row r="49" spans="1:68" x14ac:dyDescent="0.25">
      <c r="A49">
        <v>98</v>
      </c>
      <c r="B49">
        <v>1</v>
      </c>
      <c r="C49">
        <v>27300</v>
      </c>
      <c r="D49">
        <v>5</v>
      </c>
      <c r="E49">
        <v>8</v>
      </c>
      <c r="F49" t="s">
        <v>10</v>
      </c>
      <c r="G49">
        <v>4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f>($H$49) * (225)</f>
        <v>0</v>
      </c>
      <c r="AG49">
        <f>($I$49) * (40)</f>
        <v>0</v>
      </c>
      <c r="AH49">
        <f>($J$49) * (40)</f>
        <v>0</v>
      </c>
      <c r="AI49">
        <f>($K$49) * (225)</f>
        <v>0</v>
      </c>
      <c r="AJ49">
        <f>($L$49) * (40)</f>
        <v>0</v>
      </c>
      <c r="AK49">
        <f>($M$49) * (40)</f>
        <v>0</v>
      </c>
      <c r="AL49">
        <f>($N$49) * (225)</f>
        <v>0</v>
      </c>
      <c r="AM49">
        <f>($O$49) * (225)</f>
        <v>0</v>
      </c>
      <c r="AN49">
        <f>($P$49) * (40)</f>
        <v>0</v>
      </c>
      <c r="AO49">
        <f>($Q$49) * (40)</f>
        <v>0</v>
      </c>
      <c r="AP49">
        <f>($R$49) * (225)</f>
        <v>0</v>
      </c>
      <c r="AQ49">
        <f>($S$49) * (40)</f>
        <v>0</v>
      </c>
      <c r="AR49">
        <f>($T$49) * (40)</f>
        <v>0</v>
      </c>
      <c r="AS49">
        <f>($U$49) * (225)</f>
        <v>0</v>
      </c>
      <c r="AT49">
        <f>($V$49) * (40)</f>
        <v>0</v>
      </c>
      <c r="AU49">
        <f>($W$49) * (40)</f>
        <v>0</v>
      </c>
      <c r="AV49">
        <f>($X$49) * (225)</f>
        <v>0</v>
      </c>
      <c r="AW49">
        <f>($Y$49) * (40)</f>
        <v>0</v>
      </c>
      <c r="AX49">
        <f>($Z$49) * (225)</f>
        <v>0</v>
      </c>
      <c r="AY49">
        <f>($AA$49) * (40)</f>
        <v>0</v>
      </c>
      <c r="AZ49">
        <f>($AB$49) * (275)</f>
        <v>0</v>
      </c>
      <c r="BA49">
        <f>($AC$49) * (90)</f>
        <v>0</v>
      </c>
      <c r="BB49">
        <f>($AD$49) * (325)</f>
        <v>0</v>
      </c>
      <c r="BC49">
        <f>($AE$49) * (375)</f>
        <v>0</v>
      </c>
      <c r="BO49">
        <v>1</v>
      </c>
      <c r="BP49">
        <f>SUM($U$49:$Z$49)</f>
        <v>0</v>
      </c>
    </row>
    <row r="50" spans="1:68" x14ac:dyDescent="0.25">
      <c r="A50">
        <v>101</v>
      </c>
      <c r="B50">
        <v>1</v>
      </c>
      <c r="C50">
        <v>2300</v>
      </c>
      <c r="D50">
        <v>5</v>
      </c>
      <c r="E50">
        <v>9</v>
      </c>
      <c r="F50" t="s">
        <v>10</v>
      </c>
      <c r="G50">
        <v>4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f>($H$50) * (225)</f>
        <v>0</v>
      </c>
      <c r="AG50">
        <f>($I$50) * (40)</f>
        <v>0</v>
      </c>
      <c r="AH50">
        <f>($J$50) * (40)</f>
        <v>0</v>
      </c>
      <c r="AI50">
        <f>($K$50) * (225)</f>
        <v>0</v>
      </c>
      <c r="AJ50">
        <f>($L$50) * (40)</f>
        <v>0</v>
      </c>
      <c r="AK50">
        <f>($M$50) * (40)</f>
        <v>0</v>
      </c>
      <c r="AL50">
        <f>($N$50) * (225)</f>
        <v>0</v>
      </c>
      <c r="AM50">
        <f>($O$50) * (225)</f>
        <v>0</v>
      </c>
      <c r="AN50">
        <f>($P$50) * (40)</f>
        <v>0</v>
      </c>
      <c r="AO50">
        <f>($Q$50) * (40)</f>
        <v>0</v>
      </c>
      <c r="AP50">
        <f>($R$50) * (225)</f>
        <v>0</v>
      </c>
      <c r="AQ50">
        <f>($S$50) * (40)</f>
        <v>0</v>
      </c>
      <c r="AR50">
        <f>($T$50) * (40)</f>
        <v>0</v>
      </c>
      <c r="AS50">
        <f>($U$50) * (225)</f>
        <v>0</v>
      </c>
      <c r="AT50">
        <f>($V$50) * (40)</f>
        <v>0</v>
      </c>
      <c r="AU50">
        <f>($W$50) * (40)</f>
        <v>0</v>
      </c>
      <c r="AV50">
        <f>($X$50) * (225)</f>
        <v>0</v>
      </c>
      <c r="AW50">
        <f>($Y$50) * (40)</f>
        <v>0</v>
      </c>
      <c r="AX50">
        <f>($Z$50) * (225)</f>
        <v>0</v>
      </c>
      <c r="AY50">
        <f>($AA$50) * (40)</f>
        <v>0</v>
      </c>
      <c r="AZ50">
        <f>($AB$50) * (275)</f>
        <v>0</v>
      </c>
      <c r="BA50">
        <f>($AC$50) * (90)</f>
        <v>0</v>
      </c>
      <c r="BB50">
        <f>($AD$50) * (325)</f>
        <v>0</v>
      </c>
      <c r="BC50">
        <f>($AE$50) * (375)</f>
        <v>0</v>
      </c>
      <c r="BO50">
        <v>1</v>
      </c>
      <c r="BP50">
        <f>SUM($U$50:$AB$50)</f>
        <v>0</v>
      </c>
    </row>
    <row r="51" spans="1:68" x14ac:dyDescent="0.25">
      <c r="A51">
        <v>102</v>
      </c>
      <c r="B51">
        <v>2</v>
      </c>
      <c r="C51">
        <v>4200</v>
      </c>
      <c r="D51">
        <v>2</v>
      </c>
      <c r="E51">
        <v>5</v>
      </c>
      <c r="F51" t="s">
        <v>10</v>
      </c>
      <c r="G51">
        <v>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f>($H$51) * (225)</f>
        <v>0</v>
      </c>
      <c r="AG51">
        <f>($I$51) * (80)</f>
        <v>0</v>
      </c>
      <c r="AH51">
        <f>($J$51) * (80)</f>
        <v>0</v>
      </c>
      <c r="AI51">
        <f>($K$51) * (225)</f>
        <v>0</v>
      </c>
      <c r="AJ51">
        <f>($L$51) * (80)</f>
        <v>0</v>
      </c>
      <c r="AK51">
        <f>($M$51) * (80)</f>
        <v>0</v>
      </c>
      <c r="AL51">
        <f>($N$51) * (225)</f>
        <v>0</v>
      </c>
      <c r="AM51">
        <f>($O$51) * (295)</f>
        <v>0</v>
      </c>
      <c r="AN51">
        <f>($P$51) * (150)</f>
        <v>0</v>
      </c>
      <c r="AO51">
        <f>($Q$51) * (150)</f>
        <v>0</v>
      </c>
      <c r="AP51">
        <f>($R$51) * (365)</f>
        <v>0</v>
      </c>
      <c r="AQ51">
        <f>($S$51) * (220)</f>
        <v>0</v>
      </c>
      <c r="AR51">
        <f>($T$51) * (220)</f>
        <v>0</v>
      </c>
      <c r="AS51">
        <f>($U$51) * (435)</f>
        <v>0</v>
      </c>
      <c r="AT51">
        <f>($V$51) * (290)</f>
        <v>0</v>
      </c>
      <c r="AU51">
        <f>($W$51) * (290)</f>
        <v>0</v>
      </c>
      <c r="AV51">
        <f>($X$51) * (505)</f>
        <v>0</v>
      </c>
      <c r="AW51">
        <f>($Y$51) * (360)</f>
        <v>0</v>
      </c>
      <c r="AX51">
        <f>($Z$51) * (575)</f>
        <v>0</v>
      </c>
      <c r="AY51">
        <f>($AA$51) * (430)</f>
        <v>0</v>
      </c>
      <c r="AZ51">
        <f>($AB$51) * (645)</f>
        <v>0</v>
      </c>
      <c r="BA51">
        <f>($AC$51) * (500)</f>
        <v>0</v>
      </c>
      <c r="BB51">
        <f>($AD$51) * (715)</f>
        <v>0</v>
      </c>
      <c r="BC51">
        <f>($AE$51) * (785)</f>
        <v>0</v>
      </c>
      <c r="BO51">
        <v>1</v>
      </c>
      <c r="BP51">
        <f>SUM($N$51:$R$51)</f>
        <v>0</v>
      </c>
    </row>
    <row r="52" spans="1:68" x14ac:dyDescent="0.25">
      <c r="A52">
        <v>106</v>
      </c>
      <c r="B52">
        <v>1</v>
      </c>
      <c r="C52">
        <v>2000</v>
      </c>
      <c r="D52">
        <v>3</v>
      </c>
      <c r="E52">
        <v>7</v>
      </c>
      <c r="F52" t="s">
        <v>10</v>
      </c>
      <c r="G52">
        <v>3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f>($H$52) * (225)</f>
        <v>0</v>
      </c>
      <c r="AG52">
        <f>($I$52) * (40)</f>
        <v>0</v>
      </c>
      <c r="AH52">
        <f>($J$52) * (40)</f>
        <v>0</v>
      </c>
      <c r="AI52">
        <f>($K$52) * (225)</f>
        <v>0</v>
      </c>
      <c r="AJ52">
        <f>($L$52) * (40)</f>
        <v>0</v>
      </c>
      <c r="AK52">
        <f>($M$52) * (40)</f>
        <v>0</v>
      </c>
      <c r="AL52">
        <f>($N$52) * (225)</f>
        <v>0</v>
      </c>
      <c r="AM52">
        <f>($O$52) * (225)</f>
        <v>0</v>
      </c>
      <c r="AN52">
        <f>($P$52) * (40)</f>
        <v>0</v>
      </c>
      <c r="AO52">
        <f>($Q$52) * (40)</f>
        <v>0</v>
      </c>
      <c r="AP52">
        <f>($R$52) * (225)</f>
        <v>0</v>
      </c>
      <c r="AQ52">
        <f>($S$52) * (40)</f>
        <v>0</v>
      </c>
      <c r="AR52">
        <f>($T$52) * (40)</f>
        <v>0</v>
      </c>
      <c r="AS52">
        <f>($U$52) * (275)</f>
        <v>0</v>
      </c>
      <c r="AT52">
        <f>($V$52) * (90)</f>
        <v>0</v>
      </c>
      <c r="AU52">
        <f>($W$52) * (90)</f>
        <v>0</v>
      </c>
      <c r="AV52">
        <f>($X$52) * (325)</f>
        <v>0</v>
      </c>
      <c r="AW52">
        <f>($Y$52) * (140)</f>
        <v>0</v>
      </c>
      <c r="AX52">
        <f>($Z$52) * (375)</f>
        <v>0</v>
      </c>
      <c r="AY52">
        <f>($AA$52) * (190)</f>
        <v>0</v>
      </c>
      <c r="AZ52">
        <f>($AB$52) * (425)</f>
        <v>0</v>
      </c>
      <c r="BA52">
        <f>($AC$52) * (240)</f>
        <v>0</v>
      </c>
      <c r="BB52">
        <f>($AD$52) * (475)</f>
        <v>0</v>
      </c>
      <c r="BC52">
        <f>($AE$52) * (525)</f>
        <v>0</v>
      </c>
      <c r="BO52">
        <v>1</v>
      </c>
      <c r="BP52">
        <f>SUM($O$52:$X$52)</f>
        <v>0</v>
      </c>
    </row>
    <row r="53" spans="1:68" x14ac:dyDescent="0.25">
      <c r="A53">
        <v>108</v>
      </c>
      <c r="B53">
        <v>2</v>
      </c>
      <c r="C53">
        <v>10305</v>
      </c>
      <c r="D53">
        <v>1</v>
      </c>
      <c r="E53">
        <v>5</v>
      </c>
      <c r="F53" t="s">
        <v>10</v>
      </c>
      <c r="G53">
        <v>4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f>($H$53) * (225)</f>
        <v>0</v>
      </c>
      <c r="AG53">
        <f>($I$53) * (80)</f>
        <v>0</v>
      </c>
      <c r="AH53">
        <f>($J$53) * (80)</f>
        <v>0</v>
      </c>
      <c r="AI53">
        <f>($K$53) * (225)</f>
        <v>0</v>
      </c>
      <c r="AJ53">
        <f>($L$53) * (80)</f>
        <v>0</v>
      </c>
      <c r="AK53">
        <f>($M$53) * (80)</f>
        <v>0</v>
      </c>
      <c r="AL53">
        <f>($N$53) * (225)</f>
        <v>0</v>
      </c>
      <c r="AM53">
        <f>($O$53) * (225)</f>
        <v>0</v>
      </c>
      <c r="AN53">
        <f>($P$53) * (80)</f>
        <v>0</v>
      </c>
      <c r="AO53">
        <f>($Q$53) * (80)</f>
        <v>0</v>
      </c>
      <c r="AP53">
        <f>($R$53) * (295)</f>
        <v>0</v>
      </c>
      <c r="AQ53">
        <f>($S$53) * (150)</f>
        <v>0</v>
      </c>
      <c r="AR53">
        <f>($T$53) * (150)</f>
        <v>0</v>
      </c>
      <c r="AS53">
        <f>($U$53) * (365)</f>
        <v>0</v>
      </c>
      <c r="AT53">
        <f>($V$53) * (220)</f>
        <v>0</v>
      </c>
      <c r="AU53">
        <f>($W$53) * (220)</f>
        <v>0</v>
      </c>
      <c r="AV53">
        <f>($X$53) * (435)</f>
        <v>0</v>
      </c>
      <c r="AW53">
        <f>($Y$53) * (290)</f>
        <v>0</v>
      </c>
      <c r="AX53">
        <f>($Z$53) * (505)</f>
        <v>0</v>
      </c>
      <c r="AY53">
        <f>($AA$53) * (360)</f>
        <v>0</v>
      </c>
      <c r="AZ53">
        <f>($AB$53) * (575)</f>
        <v>0</v>
      </c>
      <c r="BA53">
        <f>($AC$53) * (430)</f>
        <v>0</v>
      </c>
      <c r="BB53">
        <f>($AD$53) * (645)</f>
        <v>0</v>
      </c>
      <c r="BC53">
        <f>($AE$53) * (715)</f>
        <v>0</v>
      </c>
      <c r="BO53">
        <v>1</v>
      </c>
      <c r="BP53">
        <f>SUM($K$53:$R$53)</f>
        <v>0</v>
      </c>
    </row>
    <row r="54" spans="1:68" x14ac:dyDescent="0.25">
      <c r="A54">
        <v>110</v>
      </c>
      <c r="B54">
        <v>2</v>
      </c>
      <c r="C54">
        <v>10305</v>
      </c>
      <c r="D54">
        <v>3</v>
      </c>
      <c r="E54">
        <v>8</v>
      </c>
      <c r="F54" t="s">
        <v>10</v>
      </c>
      <c r="G54">
        <v>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f>($H$54) * (225)</f>
        <v>0</v>
      </c>
      <c r="AG54">
        <f>($I$54) * (80)</f>
        <v>0</v>
      </c>
      <c r="AH54">
        <f>($J$54) * (80)</f>
        <v>0</v>
      </c>
      <c r="AI54">
        <f>($K$54) * (225)</f>
        <v>0</v>
      </c>
      <c r="AJ54">
        <f>($L$54) * (80)</f>
        <v>0</v>
      </c>
      <c r="AK54">
        <f>($M$54) * (80)</f>
        <v>0</v>
      </c>
      <c r="AL54">
        <f>($N$54) * (225)</f>
        <v>0</v>
      </c>
      <c r="AM54">
        <f>($O$54) * (225)</f>
        <v>0</v>
      </c>
      <c r="AN54">
        <f>($P$54) * (80)</f>
        <v>0</v>
      </c>
      <c r="AO54">
        <f>($Q$54) * (80)</f>
        <v>0</v>
      </c>
      <c r="AP54">
        <f>($R$54) * (225)</f>
        <v>0</v>
      </c>
      <c r="AQ54">
        <f>($S$54) * (80)</f>
        <v>0</v>
      </c>
      <c r="AR54">
        <f>($T$54) * (80)</f>
        <v>0</v>
      </c>
      <c r="AS54">
        <f>($U$54) * (225)</f>
        <v>0</v>
      </c>
      <c r="AT54">
        <f>($V$54) * (80)</f>
        <v>0</v>
      </c>
      <c r="AU54">
        <f>($W$54) * (80)</f>
        <v>0</v>
      </c>
      <c r="AV54">
        <f>($X$54) * (225)</f>
        <v>0</v>
      </c>
      <c r="AW54">
        <f>($Y$54) * (80)</f>
        <v>0</v>
      </c>
      <c r="AX54">
        <f>($Z$54) * (295)</f>
        <v>0</v>
      </c>
      <c r="AY54">
        <f>($AA$54) * (150)</f>
        <v>0</v>
      </c>
      <c r="AZ54">
        <f>($AB$54) * (365)</f>
        <v>0</v>
      </c>
      <c r="BA54">
        <f>($AC$54) * (220)</f>
        <v>0</v>
      </c>
      <c r="BB54">
        <f>($AD$54) * (435)</f>
        <v>0</v>
      </c>
      <c r="BC54">
        <f>($AE$54) * (505)</f>
        <v>0</v>
      </c>
      <c r="BO54">
        <v>1</v>
      </c>
      <c r="BP54">
        <f>SUM($O$54:$Z$54)</f>
        <v>0</v>
      </c>
    </row>
    <row r="55" spans="1:68" x14ac:dyDescent="0.25">
      <c r="A55">
        <v>118</v>
      </c>
      <c r="B55">
        <v>1</v>
      </c>
      <c r="C55">
        <v>10305</v>
      </c>
      <c r="D55">
        <v>6</v>
      </c>
      <c r="E55">
        <v>9</v>
      </c>
      <c r="F55" t="s">
        <v>10</v>
      </c>
      <c r="G55">
        <v>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f>($H$55) * (225)</f>
        <v>0</v>
      </c>
      <c r="AG55">
        <f>($I$55) * (40)</f>
        <v>0</v>
      </c>
      <c r="AH55">
        <f>($J$55) * (40)</f>
        <v>0</v>
      </c>
      <c r="AI55">
        <f>($K$55) * (225)</f>
        <v>0</v>
      </c>
      <c r="AJ55">
        <f>($L$55) * (40)</f>
        <v>0</v>
      </c>
      <c r="AK55">
        <f>($M$55) * (40)</f>
        <v>0</v>
      </c>
      <c r="AL55">
        <f>($N$55) * (225)</f>
        <v>0</v>
      </c>
      <c r="AM55">
        <f>($O$55) * (225)</f>
        <v>0</v>
      </c>
      <c r="AN55">
        <f>($P$55) * (40)</f>
        <v>0</v>
      </c>
      <c r="AO55">
        <f>($Q$55) * (40)</f>
        <v>0</v>
      </c>
      <c r="AP55">
        <f>($R$55) * (225)</f>
        <v>0</v>
      </c>
      <c r="AQ55">
        <f>($S$55) * (40)</f>
        <v>0</v>
      </c>
      <c r="AR55">
        <f>($T$55) * (40)</f>
        <v>0</v>
      </c>
      <c r="AS55">
        <f>($U$55) * (225)</f>
        <v>0</v>
      </c>
      <c r="AT55">
        <f>($V$55) * (40)</f>
        <v>0</v>
      </c>
      <c r="AU55">
        <f>($W$55) * (40)</f>
        <v>0</v>
      </c>
      <c r="AV55">
        <f>($X$55) * (225)</f>
        <v>0</v>
      </c>
      <c r="AW55">
        <f>($Y$55) * (40)</f>
        <v>0</v>
      </c>
      <c r="AX55">
        <f>($Z$55) * (225)</f>
        <v>0</v>
      </c>
      <c r="AY55">
        <f>($AA$55) * (40)</f>
        <v>0</v>
      </c>
      <c r="AZ55">
        <f>($AB$55) * (225)</f>
        <v>0</v>
      </c>
      <c r="BA55">
        <f>($AC$55) * (40)</f>
        <v>0</v>
      </c>
      <c r="BB55">
        <f>($AD$55) * (225)</f>
        <v>0</v>
      </c>
      <c r="BC55">
        <f>($AE$55) * (275)</f>
        <v>0</v>
      </c>
      <c r="BO55">
        <v>1</v>
      </c>
      <c r="BP55">
        <f>SUM($X$55:$AB$55)</f>
        <v>0</v>
      </c>
    </row>
    <row r="56" spans="1:68" x14ac:dyDescent="0.25">
      <c r="A56">
        <v>122</v>
      </c>
      <c r="B56">
        <v>2</v>
      </c>
      <c r="C56">
        <v>10305</v>
      </c>
      <c r="D56">
        <v>4</v>
      </c>
      <c r="E56">
        <v>7</v>
      </c>
      <c r="F56" t="s">
        <v>10</v>
      </c>
      <c r="G56">
        <v>4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f>($H$56) * (225)</f>
        <v>0</v>
      </c>
      <c r="AG56">
        <f>($I$56) * (80)</f>
        <v>0</v>
      </c>
      <c r="AH56">
        <f>($J$56) * (80)</f>
        <v>0</v>
      </c>
      <c r="AI56">
        <f>($K$56) * (225)</f>
        <v>0</v>
      </c>
      <c r="AJ56">
        <f>($L$56) * (80)</f>
        <v>0</v>
      </c>
      <c r="AK56">
        <f>($M$56) * (80)</f>
        <v>0</v>
      </c>
      <c r="AL56">
        <f>($N$56) * (225)</f>
        <v>0</v>
      </c>
      <c r="AM56">
        <f>($O$56) * (225)</f>
        <v>0</v>
      </c>
      <c r="AN56">
        <f>($P$56) * (80)</f>
        <v>0</v>
      </c>
      <c r="AO56">
        <f>($Q$56) * (80)</f>
        <v>0</v>
      </c>
      <c r="AP56">
        <f>($R$56) * (225)</f>
        <v>0</v>
      </c>
      <c r="AQ56">
        <f>($S$56) * (80)</f>
        <v>0</v>
      </c>
      <c r="AR56">
        <f>($T$56) * (80)</f>
        <v>0</v>
      </c>
      <c r="AS56">
        <f>($U$56) * (225)</f>
        <v>0</v>
      </c>
      <c r="AT56">
        <f>($V$56) * (80)</f>
        <v>0</v>
      </c>
      <c r="AU56">
        <f>($W$56) * (80)</f>
        <v>0</v>
      </c>
      <c r="AV56">
        <f>($X$56) * (225)</f>
        <v>0</v>
      </c>
      <c r="AW56">
        <f>($Y$56) * (80)</f>
        <v>0</v>
      </c>
      <c r="AX56">
        <f>($Z$56) * (295)</f>
        <v>0</v>
      </c>
      <c r="AY56">
        <f>($AA$56) * (150)</f>
        <v>0</v>
      </c>
      <c r="AZ56">
        <f>($AB$56) * (365)</f>
        <v>0</v>
      </c>
      <c r="BA56">
        <f>($AC$56) * (220)</f>
        <v>0</v>
      </c>
      <c r="BB56">
        <f>($AD$56) * (435)</f>
        <v>0</v>
      </c>
      <c r="BC56">
        <f>($AE$56) * (505)</f>
        <v>0</v>
      </c>
      <c r="BO56">
        <v>1</v>
      </c>
      <c r="BP56">
        <f>SUM($R$56:$X$56)</f>
        <v>0</v>
      </c>
    </row>
    <row r="57" spans="1:68" x14ac:dyDescent="0.25">
      <c r="A57">
        <v>123</v>
      </c>
      <c r="B57">
        <v>2</v>
      </c>
      <c r="C57">
        <v>10305</v>
      </c>
      <c r="D57">
        <v>-1</v>
      </c>
      <c r="E57">
        <v>4</v>
      </c>
      <c r="F57" t="s">
        <v>10</v>
      </c>
      <c r="G57">
        <v>4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f>($H$57) * (225)</f>
        <v>0</v>
      </c>
      <c r="AG57">
        <f>($I$57) * (80)</f>
        <v>0</v>
      </c>
      <c r="AH57">
        <f>($J$57) * (80)</f>
        <v>0</v>
      </c>
      <c r="AI57">
        <f>($K$57) * (225)</f>
        <v>0</v>
      </c>
      <c r="AJ57">
        <f>($L$57) * (80)</f>
        <v>0</v>
      </c>
      <c r="AK57">
        <f>($M$57) * (80)</f>
        <v>0</v>
      </c>
      <c r="AL57">
        <f>($N$57) * (295)</f>
        <v>0</v>
      </c>
      <c r="AM57">
        <f>($O$57) * (365)</f>
        <v>0</v>
      </c>
      <c r="AN57">
        <f>($P$57) * (220)</f>
        <v>0</v>
      </c>
      <c r="AO57">
        <f>($Q$57) * (220)</f>
        <v>0</v>
      </c>
      <c r="AP57">
        <f>($R$57) * (435)</f>
        <v>0</v>
      </c>
      <c r="AQ57">
        <f>($S$57) * (290)</f>
        <v>0</v>
      </c>
      <c r="AR57">
        <f>($T$57) * (290)</f>
        <v>0</v>
      </c>
      <c r="AS57">
        <f>($U$57) * (505)</f>
        <v>0</v>
      </c>
      <c r="AT57">
        <f>($V$57) * (360)</f>
        <v>0</v>
      </c>
      <c r="AU57">
        <f>($W$57) * (360)</f>
        <v>0</v>
      </c>
      <c r="AV57">
        <f>($X$57) * (575)</f>
        <v>0</v>
      </c>
      <c r="AW57">
        <f>($Y$57) * (430)</f>
        <v>0</v>
      </c>
      <c r="AX57">
        <f>($Z$57) * (645)</f>
        <v>0</v>
      </c>
      <c r="AY57">
        <f>($AA$57) * (500)</f>
        <v>0</v>
      </c>
      <c r="AZ57">
        <f>($AB$57) * (715)</f>
        <v>0</v>
      </c>
      <c r="BA57">
        <f>($AC$57) * (570)</f>
        <v>0</v>
      </c>
      <c r="BB57">
        <f>($AD$57) * (785)</f>
        <v>0</v>
      </c>
      <c r="BC57">
        <f>($AE$57) * (855)</f>
        <v>0</v>
      </c>
      <c r="BO57">
        <v>1</v>
      </c>
      <c r="BP57">
        <f>SUM($H$57:$O$57)</f>
        <v>0</v>
      </c>
    </row>
    <row r="58" spans="1:68" x14ac:dyDescent="0.25">
      <c r="A58">
        <v>126</v>
      </c>
      <c r="B58">
        <v>2</v>
      </c>
      <c r="C58">
        <v>10305</v>
      </c>
      <c r="D58">
        <v>5</v>
      </c>
      <c r="E58">
        <v>8</v>
      </c>
      <c r="F58" t="s">
        <v>10</v>
      </c>
      <c r="G58">
        <v>4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f>($H$58) * (225)</f>
        <v>0</v>
      </c>
      <c r="AG58">
        <f>($I$58) * (80)</f>
        <v>0</v>
      </c>
      <c r="AH58">
        <f>($J$58) * (80)</f>
        <v>0</v>
      </c>
      <c r="AI58">
        <f>($K$58) * (225)</f>
        <v>0</v>
      </c>
      <c r="AJ58">
        <f>($L$58) * (80)</f>
        <v>0</v>
      </c>
      <c r="AK58">
        <f>($M$58) * (80)</f>
        <v>0</v>
      </c>
      <c r="AL58">
        <f>($N$58) * (225)</f>
        <v>0</v>
      </c>
      <c r="AM58">
        <f>($O$58) * (225)</f>
        <v>0</v>
      </c>
      <c r="AN58">
        <f>($P$58) * (80)</f>
        <v>0</v>
      </c>
      <c r="AO58">
        <f>($Q$58) * (80)</f>
        <v>0</v>
      </c>
      <c r="AP58">
        <f>($R$58) * (225)</f>
        <v>0</v>
      </c>
      <c r="AQ58">
        <f>($S$58) * (80)</f>
        <v>0</v>
      </c>
      <c r="AR58">
        <f>($T$58) * (80)</f>
        <v>0</v>
      </c>
      <c r="AS58">
        <f>($U$58) * (225)</f>
        <v>0</v>
      </c>
      <c r="AT58">
        <f>($V$58) * (80)</f>
        <v>0</v>
      </c>
      <c r="AU58">
        <f>($W$58) * (80)</f>
        <v>0</v>
      </c>
      <c r="AV58">
        <f>($X$58) * (225)</f>
        <v>0</v>
      </c>
      <c r="AW58">
        <f>($Y$58) * (80)</f>
        <v>0</v>
      </c>
      <c r="AX58">
        <f>($Z$58) * (225)</f>
        <v>0</v>
      </c>
      <c r="AY58">
        <f>($AA$58) * (80)</f>
        <v>0</v>
      </c>
      <c r="AZ58">
        <f>($AB$58) * (295)</f>
        <v>0</v>
      </c>
      <c r="BA58">
        <f>($AC$58) * (150)</f>
        <v>0</v>
      </c>
      <c r="BB58">
        <f>($AD$58) * (365)</f>
        <v>0</v>
      </c>
      <c r="BC58">
        <f>($AE$58) * (435)</f>
        <v>0</v>
      </c>
      <c r="BO58">
        <v>1</v>
      </c>
      <c r="BP58">
        <f>SUM($U$58:$Z$58)</f>
        <v>0</v>
      </c>
    </row>
    <row r="59" spans="1:68" x14ac:dyDescent="0.25">
      <c r="A59">
        <v>129</v>
      </c>
      <c r="B59">
        <v>2</v>
      </c>
      <c r="C59">
        <v>10305</v>
      </c>
      <c r="D59">
        <v>-1</v>
      </c>
      <c r="E59">
        <v>2</v>
      </c>
      <c r="F59" t="s">
        <v>10</v>
      </c>
      <c r="G59">
        <v>4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f>($H$59) * (225)</f>
        <v>0</v>
      </c>
      <c r="AG59">
        <f>($I$59) * (80)</f>
        <v>0</v>
      </c>
      <c r="AH59">
        <f>($J$59) * (80)</f>
        <v>0</v>
      </c>
      <c r="AI59">
        <f>($K$59) * (225)</f>
        <v>0</v>
      </c>
      <c r="AJ59">
        <f>($L$59) * (80)</f>
        <v>0</v>
      </c>
      <c r="AK59">
        <f>($M$59) * (80)</f>
        <v>0</v>
      </c>
      <c r="AL59">
        <f>($N$59) * (295)</f>
        <v>0</v>
      </c>
      <c r="AM59">
        <f>($O$59) * (365)</f>
        <v>0</v>
      </c>
      <c r="AN59">
        <f>($P$59) * (220)</f>
        <v>0</v>
      </c>
      <c r="AO59">
        <f>($Q$59) * (220)</f>
        <v>0</v>
      </c>
      <c r="AP59">
        <f>($R$59) * (435)</f>
        <v>0</v>
      </c>
      <c r="AQ59">
        <f>($S$59) * (290)</f>
        <v>0</v>
      </c>
      <c r="AR59">
        <f>($T$59) * (290)</f>
        <v>0</v>
      </c>
      <c r="AS59">
        <f>($U$59) * (505)</f>
        <v>0</v>
      </c>
      <c r="AT59">
        <f>($V$59) * (360)</f>
        <v>0</v>
      </c>
      <c r="AU59">
        <f>($W$59) * (360)</f>
        <v>0</v>
      </c>
      <c r="AV59">
        <f>($X$59) * (575)</f>
        <v>0</v>
      </c>
      <c r="AW59">
        <f>($Y$59) * (430)</f>
        <v>0</v>
      </c>
      <c r="AX59">
        <f>($Z$59) * (645)</f>
        <v>0</v>
      </c>
      <c r="AY59">
        <f>($AA$59) * (500)</f>
        <v>0</v>
      </c>
      <c r="AZ59">
        <f>($AB$59) * (715)</f>
        <v>0</v>
      </c>
      <c r="BA59">
        <f>($AC$59) * (570)</f>
        <v>0</v>
      </c>
      <c r="BB59">
        <f>($AD$59) * (785)</f>
        <v>0</v>
      </c>
      <c r="BC59">
        <f>($AE$59) * (855)</f>
        <v>0</v>
      </c>
      <c r="BO59">
        <v>1</v>
      </c>
      <c r="BP59">
        <f>SUM($H$59:$K$59)</f>
        <v>0</v>
      </c>
    </row>
    <row r="60" spans="1:68" x14ac:dyDescent="0.25">
      <c r="A60">
        <v>133</v>
      </c>
      <c r="B60">
        <v>1</v>
      </c>
      <c r="C60">
        <v>24020</v>
      </c>
      <c r="D60">
        <v>4</v>
      </c>
      <c r="E60">
        <v>8</v>
      </c>
      <c r="F60" t="s">
        <v>10</v>
      </c>
      <c r="G60">
        <v>3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f>($H$60) * (225)</f>
        <v>0</v>
      </c>
      <c r="AG60">
        <f>($I$60) * (40)</f>
        <v>0</v>
      </c>
      <c r="AH60">
        <f>($J$60) * (40)</f>
        <v>0</v>
      </c>
      <c r="AI60">
        <f>($K$60) * (225)</f>
        <v>0</v>
      </c>
      <c r="AJ60">
        <f>($L$60) * (40)</f>
        <v>0</v>
      </c>
      <c r="AK60">
        <f>($M$60) * (40)</f>
        <v>0</v>
      </c>
      <c r="AL60">
        <f>($N$60) * (225)</f>
        <v>0</v>
      </c>
      <c r="AM60">
        <f>($O$60) * (225)</f>
        <v>0</v>
      </c>
      <c r="AN60">
        <f>($P$60) * (40)</f>
        <v>0</v>
      </c>
      <c r="AO60">
        <f>($Q$60) * (40)</f>
        <v>0</v>
      </c>
      <c r="AP60">
        <f>($R$60) * (225)</f>
        <v>0</v>
      </c>
      <c r="AQ60">
        <f>($S$60) * (40)</f>
        <v>0</v>
      </c>
      <c r="AR60">
        <f>($T$60) * (40)</f>
        <v>0</v>
      </c>
      <c r="AS60">
        <f>($U$60) * (225)</f>
        <v>0</v>
      </c>
      <c r="AT60">
        <f>($V$60) * (40)</f>
        <v>0</v>
      </c>
      <c r="AU60">
        <f>($W$60) * (40)</f>
        <v>0</v>
      </c>
      <c r="AV60">
        <f>($X$60) * (275)</f>
        <v>0</v>
      </c>
      <c r="AW60">
        <f>($Y$60) * (90)</f>
        <v>0</v>
      </c>
      <c r="AX60">
        <f>($Z$60) * (325)</f>
        <v>0</v>
      </c>
      <c r="AY60">
        <f>($AA$60) * (140)</f>
        <v>0</v>
      </c>
      <c r="AZ60">
        <f>($AB$60) * (375)</f>
        <v>0</v>
      </c>
      <c r="BA60">
        <f>($AC$60) * (190)</f>
        <v>0</v>
      </c>
      <c r="BB60">
        <f>($AD$60) * (425)</f>
        <v>0</v>
      </c>
      <c r="BC60">
        <f>($AE$60) * (475)</f>
        <v>0</v>
      </c>
      <c r="BO60">
        <v>1</v>
      </c>
      <c r="BP60">
        <f>SUM($R$60:$Z$60)</f>
        <v>0</v>
      </c>
    </row>
    <row r="61" spans="1:68" x14ac:dyDescent="0.25">
      <c r="A61">
        <v>136</v>
      </c>
      <c r="B61">
        <v>2</v>
      </c>
      <c r="C61">
        <v>6365</v>
      </c>
      <c r="D61">
        <v>-1</v>
      </c>
      <c r="E61">
        <v>4</v>
      </c>
      <c r="F61" t="s">
        <v>10</v>
      </c>
      <c r="G61">
        <v>3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f>($H$61) * (225)</f>
        <v>0</v>
      </c>
      <c r="AG61">
        <f>($I$61) * (80)</f>
        <v>0</v>
      </c>
      <c r="AH61">
        <f>($J$61) * (80)</f>
        <v>0</v>
      </c>
      <c r="AI61">
        <f>($K$61) * (295)</f>
        <v>0</v>
      </c>
      <c r="AJ61">
        <f>($L$61) * (150)</f>
        <v>0</v>
      </c>
      <c r="AK61">
        <f>($M$61) * (150)</f>
        <v>0</v>
      </c>
      <c r="AL61">
        <f>($N$61) * (365)</f>
        <v>0</v>
      </c>
      <c r="AM61">
        <f>($O$61) * (435)</f>
        <v>0</v>
      </c>
      <c r="AN61">
        <f>($P$61) * (290)</f>
        <v>0</v>
      </c>
      <c r="AO61">
        <f>($Q$61) * (290)</f>
        <v>0</v>
      </c>
      <c r="AP61">
        <f>($R$61) * (505)</f>
        <v>0</v>
      </c>
      <c r="AQ61">
        <f>($S$61) * (360)</f>
        <v>0</v>
      </c>
      <c r="AR61">
        <f>($T$61) * (360)</f>
        <v>0</v>
      </c>
      <c r="AS61">
        <f>($U$61) * (575)</f>
        <v>0</v>
      </c>
      <c r="AT61">
        <f>($V$61) * (430)</f>
        <v>0</v>
      </c>
      <c r="AU61">
        <f>($W$61) * (430)</f>
        <v>0</v>
      </c>
      <c r="AV61">
        <f>($X$61) * (645)</f>
        <v>0</v>
      </c>
      <c r="AW61">
        <f>($Y$61) * (500)</f>
        <v>0</v>
      </c>
      <c r="AX61">
        <f>($Z$61) * (715)</f>
        <v>0</v>
      </c>
      <c r="AY61">
        <f>($AA$61) * (570)</f>
        <v>0</v>
      </c>
      <c r="AZ61">
        <f>($AB$61) * (785)</f>
        <v>0</v>
      </c>
      <c r="BA61">
        <f>($AC$61) * (640)</f>
        <v>0</v>
      </c>
      <c r="BB61">
        <f>($AD$61) * (855)</f>
        <v>0</v>
      </c>
      <c r="BC61">
        <f>($AE$61) * (925)</f>
        <v>0</v>
      </c>
      <c r="BO61">
        <v>1</v>
      </c>
      <c r="BP61">
        <f>SUM($H$61:$O$61)</f>
        <v>0</v>
      </c>
    </row>
    <row r="62" spans="1:68" x14ac:dyDescent="0.25">
      <c r="A62">
        <v>137</v>
      </c>
      <c r="B62">
        <v>2</v>
      </c>
      <c r="C62">
        <v>7772</v>
      </c>
      <c r="D62">
        <v>2</v>
      </c>
      <c r="E62">
        <v>5</v>
      </c>
      <c r="F62" t="s">
        <v>10</v>
      </c>
      <c r="G62">
        <v>6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f>($H$62) * (225)</f>
        <v>0</v>
      </c>
      <c r="AG62">
        <f>($I$62) * (80)</f>
        <v>0</v>
      </c>
      <c r="AH62">
        <f>($J$62) * (80)</f>
        <v>0</v>
      </c>
      <c r="AI62">
        <f>($K$62) * (225)</f>
        <v>0</v>
      </c>
      <c r="AJ62">
        <f>($L$62) * (80)</f>
        <v>0</v>
      </c>
      <c r="AK62">
        <f>($M$62) * (80)</f>
        <v>0</v>
      </c>
      <c r="AL62">
        <f>($N$62) * (225)</f>
        <v>0</v>
      </c>
      <c r="AM62">
        <f>($O$62) * (225)</f>
        <v>0</v>
      </c>
      <c r="AN62">
        <f>($P$62) * (80)</f>
        <v>0</v>
      </c>
      <c r="AO62">
        <f>($Q$62) * (80)</f>
        <v>0</v>
      </c>
      <c r="AP62">
        <f>($R$62) * (225)</f>
        <v>0</v>
      </c>
      <c r="AQ62">
        <f>($S$62) * (80)</f>
        <v>0</v>
      </c>
      <c r="AR62">
        <f>($T$62) * (80)</f>
        <v>0</v>
      </c>
      <c r="AS62">
        <f>($U$62) * (225)</f>
        <v>0</v>
      </c>
      <c r="AT62">
        <f>($V$62) * (80)</f>
        <v>0</v>
      </c>
      <c r="AU62">
        <f>($W$62) * (80)</f>
        <v>0</v>
      </c>
      <c r="AV62">
        <f>($X$62) * (225)</f>
        <v>0</v>
      </c>
      <c r="AW62">
        <f>($Y$62) * (80)</f>
        <v>0</v>
      </c>
      <c r="AX62">
        <f>($Z$62) * (295)</f>
        <v>0</v>
      </c>
      <c r="AY62">
        <f>($AA$62) * (150)</f>
        <v>0</v>
      </c>
      <c r="AZ62">
        <f>($AB$62) * (365)</f>
        <v>0</v>
      </c>
      <c r="BA62">
        <f>($AC$62) * (220)</f>
        <v>0</v>
      </c>
      <c r="BB62">
        <f>($AD$62) * (435)</f>
        <v>0</v>
      </c>
      <c r="BC62">
        <f>($AE$62) * (505)</f>
        <v>0</v>
      </c>
      <c r="BO62">
        <v>1</v>
      </c>
      <c r="BP62">
        <f>SUM($N$62:$R$62)</f>
        <v>0</v>
      </c>
    </row>
    <row r="63" spans="1:68" x14ac:dyDescent="0.25">
      <c r="A63">
        <v>139</v>
      </c>
      <c r="B63">
        <v>2</v>
      </c>
      <c r="C63">
        <v>6493</v>
      </c>
      <c r="D63">
        <v>6</v>
      </c>
      <c r="E63">
        <v>10</v>
      </c>
      <c r="F63" t="s">
        <v>10</v>
      </c>
      <c r="G63">
        <v>5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f>($H$63) * (225)</f>
        <v>0</v>
      </c>
      <c r="AG63">
        <f>($I$63) * (80)</f>
        <v>0</v>
      </c>
      <c r="AH63">
        <f>($J$63) * (80)</f>
        <v>0</v>
      </c>
      <c r="AI63">
        <f>($K$63) * (225)</f>
        <v>0</v>
      </c>
      <c r="AJ63">
        <f>($L$63) * (80)</f>
        <v>0</v>
      </c>
      <c r="AK63">
        <f>($M$63) * (80)</f>
        <v>0</v>
      </c>
      <c r="AL63">
        <f>($N$63) * (225)</f>
        <v>0</v>
      </c>
      <c r="AM63">
        <f>($O$63) * (225)</f>
        <v>0</v>
      </c>
      <c r="AN63">
        <f>($P$63) * (80)</f>
        <v>0</v>
      </c>
      <c r="AO63">
        <f>($Q$63) * (80)</f>
        <v>0</v>
      </c>
      <c r="AP63">
        <f>($R$63) * (225)</f>
        <v>0</v>
      </c>
      <c r="AQ63">
        <f>($S$63) * (80)</f>
        <v>0</v>
      </c>
      <c r="AR63">
        <f>($T$63) * (80)</f>
        <v>0</v>
      </c>
      <c r="AS63">
        <f>($U$63) * (225)</f>
        <v>0</v>
      </c>
      <c r="AT63">
        <f>($V$63) * (80)</f>
        <v>0</v>
      </c>
      <c r="AU63">
        <f>($W$63) * (80)</f>
        <v>0</v>
      </c>
      <c r="AV63">
        <f>($X$63) * (225)</f>
        <v>0</v>
      </c>
      <c r="AW63">
        <f>($Y$63) * (80)</f>
        <v>0</v>
      </c>
      <c r="AX63">
        <f>($Z$63) * (225)</f>
        <v>0</v>
      </c>
      <c r="AY63">
        <f>($AA$63) * (80)</f>
        <v>0</v>
      </c>
      <c r="AZ63">
        <f>($AB$63) * (225)</f>
        <v>0</v>
      </c>
      <c r="BA63">
        <f>($AC$63) * (80)</f>
        <v>0</v>
      </c>
      <c r="BB63">
        <f>($AD$63) * (225)</f>
        <v>0</v>
      </c>
      <c r="BC63">
        <f>($AE$63) * (295)</f>
        <v>0</v>
      </c>
      <c r="BO63">
        <v>1</v>
      </c>
      <c r="BP63">
        <f>SUM($X$63:$AD$63)</f>
        <v>0</v>
      </c>
    </row>
    <row r="64" spans="1:68" x14ac:dyDescent="0.25">
      <c r="A64">
        <v>140</v>
      </c>
      <c r="B64">
        <v>2</v>
      </c>
      <c r="C64">
        <v>19200</v>
      </c>
      <c r="D64">
        <v>2</v>
      </c>
      <c r="E64">
        <v>7</v>
      </c>
      <c r="F64" t="s">
        <v>10</v>
      </c>
      <c r="G64">
        <v>4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f>($H$64) * (225)</f>
        <v>0</v>
      </c>
      <c r="AG64">
        <f>($I$64) * (80)</f>
        <v>0</v>
      </c>
      <c r="AH64">
        <f>($J$64) * (80)</f>
        <v>0</v>
      </c>
      <c r="AI64">
        <f>($K$64) * (225)</f>
        <v>0</v>
      </c>
      <c r="AJ64">
        <f>($L$64) * (80)</f>
        <v>0</v>
      </c>
      <c r="AK64">
        <f>($M$64) * (80)</f>
        <v>0</v>
      </c>
      <c r="AL64">
        <f>($N$64) * (225)</f>
        <v>0</v>
      </c>
      <c r="AM64">
        <f>($O$64) * (225)</f>
        <v>0</v>
      </c>
      <c r="AN64">
        <f>($P$64) * (80)</f>
        <v>0</v>
      </c>
      <c r="AO64">
        <f>($Q$64) * (80)</f>
        <v>0</v>
      </c>
      <c r="AP64">
        <f>($R$64) * (225)</f>
        <v>0</v>
      </c>
      <c r="AQ64">
        <f>($S$64) * (80)</f>
        <v>0</v>
      </c>
      <c r="AR64">
        <f>($T$64) * (80)</f>
        <v>0</v>
      </c>
      <c r="AS64">
        <f>($U$64) * (295)</f>
        <v>0</v>
      </c>
      <c r="AT64">
        <f>($V$64) * (150)</f>
        <v>0</v>
      </c>
      <c r="AU64">
        <f>($W$64) * (150)</f>
        <v>0</v>
      </c>
      <c r="AV64">
        <f>($X$64) * (365)</f>
        <v>0</v>
      </c>
      <c r="AW64">
        <f>($Y$64) * (220)</f>
        <v>0</v>
      </c>
      <c r="AX64">
        <f>($Z$64) * (435)</f>
        <v>0</v>
      </c>
      <c r="AY64">
        <f>($AA$64) * (290)</f>
        <v>0</v>
      </c>
      <c r="AZ64">
        <f>($AB$64) * (505)</f>
        <v>0</v>
      </c>
      <c r="BA64">
        <f>($AC$64) * (360)</f>
        <v>0</v>
      </c>
      <c r="BB64">
        <f>($AD$64) * (575)</f>
        <v>0</v>
      </c>
      <c r="BC64">
        <f>($AE$64) * (645)</f>
        <v>0</v>
      </c>
      <c r="BO64">
        <v>1</v>
      </c>
      <c r="BP64">
        <f>SUM($N$64:$X$64)</f>
        <v>0</v>
      </c>
    </row>
    <row r="65" spans="1:68" x14ac:dyDescent="0.25">
      <c r="A65">
        <v>144</v>
      </c>
      <c r="B65">
        <v>1</v>
      </c>
      <c r="C65">
        <v>26360</v>
      </c>
      <c r="D65">
        <v>-1</v>
      </c>
      <c r="E65">
        <v>2</v>
      </c>
      <c r="F65" t="s">
        <v>10</v>
      </c>
      <c r="G65">
        <v>3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f>($H$65) * (225)</f>
        <v>0</v>
      </c>
      <c r="AG65">
        <f>($I$65) * (40)</f>
        <v>0</v>
      </c>
      <c r="AH65">
        <f>($J$65) * (40)</f>
        <v>0</v>
      </c>
      <c r="AI65">
        <f>($K$65) * (275)</f>
        <v>0</v>
      </c>
      <c r="AJ65">
        <f>($L$65) * (90)</f>
        <v>0</v>
      </c>
      <c r="AK65">
        <f>($M$65) * (90)</f>
        <v>0</v>
      </c>
      <c r="AL65">
        <f>($N$65) * (325)</f>
        <v>0</v>
      </c>
      <c r="AM65">
        <f>($O$65) * (375)</f>
        <v>0</v>
      </c>
      <c r="AN65">
        <f>($P$65) * (190)</f>
        <v>0</v>
      </c>
      <c r="AO65">
        <f>($Q$65) * (190)</f>
        <v>0</v>
      </c>
      <c r="AP65">
        <f>($R$65) * (425)</f>
        <v>0</v>
      </c>
      <c r="AQ65">
        <f>($S$65) * (240)</f>
        <v>0</v>
      </c>
      <c r="AR65">
        <f>($T$65) * (240)</f>
        <v>0</v>
      </c>
      <c r="AS65">
        <f>($U$65) * (475)</f>
        <v>0</v>
      </c>
      <c r="AT65">
        <f>($V$65) * (290)</f>
        <v>0</v>
      </c>
      <c r="AU65">
        <f>($W$65) * (290)</f>
        <v>0</v>
      </c>
      <c r="AV65">
        <f>($X$65) * (525)</f>
        <v>0</v>
      </c>
      <c r="AW65">
        <f>($Y$65) * (340)</f>
        <v>0</v>
      </c>
      <c r="AX65">
        <f>($Z$65) * (575)</f>
        <v>0</v>
      </c>
      <c r="AY65">
        <f>($AA$65) * (390)</f>
        <v>0</v>
      </c>
      <c r="AZ65">
        <f>($AB$65) * (625)</f>
        <v>0</v>
      </c>
      <c r="BA65">
        <f>($AC$65) * (440)</f>
        <v>0</v>
      </c>
      <c r="BB65">
        <f>($AD$65) * (675)</f>
        <v>0</v>
      </c>
      <c r="BC65">
        <f>($AE$65) * (725)</f>
        <v>0</v>
      </c>
      <c r="BO65">
        <v>1</v>
      </c>
      <c r="BP65">
        <f>SUM($H$65:$K$65)</f>
        <v>0</v>
      </c>
    </row>
    <row r="66" spans="1:68" x14ac:dyDescent="0.25">
      <c r="A66">
        <v>145</v>
      </c>
      <c r="B66">
        <v>1</v>
      </c>
      <c r="C66">
        <v>20300</v>
      </c>
      <c r="D66">
        <v>2</v>
      </c>
      <c r="E66">
        <v>7</v>
      </c>
      <c r="F66" t="s">
        <v>10</v>
      </c>
      <c r="G66">
        <v>2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f>($H$66) * (225)</f>
        <v>0</v>
      </c>
      <c r="AG66">
        <f>($I$66) * (40)</f>
        <v>0</v>
      </c>
      <c r="AH66">
        <f>($J$66) * (40)</f>
        <v>0</v>
      </c>
      <c r="AI66">
        <f>($K$66) * (225)</f>
        <v>0</v>
      </c>
      <c r="AJ66">
        <f>($L$66) * (40)</f>
        <v>0</v>
      </c>
      <c r="AK66">
        <f>($M$66) * (40)</f>
        <v>0</v>
      </c>
      <c r="AL66">
        <f>($N$66) * (225)</f>
        <v>0</v>
      </c>
      <c r="AM66">
        <f>($O$66) * (275)</f>
        <v>0</v>
      </c>
      <c r="AN66">
        <f>($P$66) * (90)</f>
        <v>0</v>
      </c>
      <c r="AO66">
        <f>($Q$66) * (90)</f>
        <v>0</v>
      </c>
      <c r="AP66">
        <f>($R$66) * (325)</f>
        <v>0</v>
      </c>
      <c r="AQ66">
        <f>($S$66) * (140)</f>
        <v>0</v>
      </c>
      <c r="AR66">
        <f>($T$66) * (140)</f>
        <v>0</v>
      </c>
      <c r="AS66">
        <f>($U$66) * (375)</f>
        <v>0</v>
      </c>
      <c r="AT66">
        <f>($V$66) * (190)</f>
        <v>0</v>
      </c>
      <c r="AU66">
        <f>($W$66) * (190)</f>
        <v>0</v>
      </c>
      <c r="AV66">
        <f>($X$66) * (425)</f>
        <v>0</v>
      </c>
      <c r="AW66">
        <f>($Y$66) * (240)</f>
        <v>0</v>
      </c>
      <c r="AX66">
        <f>($Z$66) * (475)</f>
        <v>0</v>
      </c>
      <c r="AY66">
        <f>($AA$66) * (290)</f>
        <v>0</v>
      </c>
      <c r="AZ66">
        <f>($AB$66) * (525)</f>
        <v>0</v>
      </c>
      <c r="BA66">
        <f>($AC$66) * (340)</f>
        <v>0</v>
      </c>
      <c r="BB66">
        <f>($AD$66) * (575)</f>
        <v>0</v>
      </c>
      <c r="BC66">
        <f>($AE$66) * (625)</f>
        <v>0</v>
      </c>
      <c r="BO66">
        <v>1</v>
      </c>
      <c r="BP66">
        <f>SUM($N$66:$X$66)</f>
        <v>0</v>
      </c>
    </row>
    <row r="67" spans="1:68" x14ac:dyDescent="0.25">
      <c r="A67">
        <v>149</v>
      </c>
      <c r="B67">
        <v>1</v>
      </c>
      <c r="C67">
        <v>12649</v>
      </c>
      <c r="D67">
        <v>6</v>
      </c>
      <c r="E67">
        <v>10</v>
      </c>
      <c r="F67" t="s">
        <v>10</v>
      </c>
      <c r="G67">
        <v>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f>($H$67) * (225)</f>
        <v>0</v>
      </c>
      <c r="AG67">
        <f>($I$67) * (40)</f>
        <v>0</v>
      </c>
      <c r="AH67">
        <f>($J$67) * (40)</f>
        <v>0</v>
      </c>
      <c r="AI67">
        <f>($K$67) * (225)</f>
        <v>0</v>
      </c>
      <c r="AJ67">
        <f>($L$67) * (40)</f>
        <v>0</v>
      </c>
      <c r="AK67">
        <f>($M$67) * (40)</f>
        <v>0</v>
      </c>
      <c r="AL67">
        <f>($N$67) * (225)</f>
        <v>0</v>
      </c>
      <c r="AM67">
        <f>($O$67) * (225)</f>
        <v>0</v>
      </c>
      <c r="AN67">
        <f>($P$67) * (40)</f>
        <v>0</v>
      </c>
      <c r="AO67">
        <f>($Q$67) * (40)</f>
        <v>0</v>
      </c>
      <c r="AP67">
        <f>($R$67) * (225)</f>
        <v>0</v>
      </c>
      <c r="AQ67">
        <f>($S$67) * (40)</f>
        <v>0</v>
      </c>
      <c r="AR67">
        <f>($T$67) * (40)</f>
        <v>0</v>
      </c>
      <c r="AS67">
        <f>($U$67) * (225)</f>
        <v>0</v>
      </c>
      <c r="AT67">
        <f>($V$67) * (40)</f>
        <v>0</v>
      </c>
      <c r="AU67">
        <f>($W$67) * (40)</f>
        <v>0</v>
      </c>
      <c r="AV67">
        <f>($X$67) * (225)</f>
        <v>0</v>
      </c>
      <c r="AW67">
        <f>($Y$67) * (40)</f>
        <v>0</v>
      </c>
      <c r="AX67">
        <f>($Z$67) * (275)</f>
        <v>0</v>
      </c>
      <c r="AY67">
        <f>($AA$67) * (90)</f>
        <v>0</v>
      </c>
      <c r="AZ67">
        <f>($AB$67) * (325)</f>
        <v>0</v>
      </c>
      <c r="BA67">
        <f>($AC$67) * (140)</f>
        <v>0</v>
      </c>
      <c r="BB67">
        <f>($AD$67) * (375)</f>
        <v>0</v>
      </c>
      <c r="BC67">
        <f>($AE$67) * (425)</f>
        <v>0</v>
      </c>
      <c r="BO67">
        <v>1</v>
      </c>
      <c r="BP67">
        <f>SUM($X$67:$AD$67)</f>
        <v>0</v>
      </c>
    </row>
    <row r="68" spans="1:68" x14ac:dyDescent="0.25">
      <c r="A68">
        <v>156</v>
      </c>
      <c r="B68">
        <v>2</v>
      </c>
      <c r="C68">
        <v>19200</v>
      </c>
      <c r="D68">
        <v>0</v>
      </c>
      <c r="E68">
        <v>4</v>
      </c>
      <c r="F68" t="s">
        <v>10</v>
      </c>
      <c r="G68">
        <v>3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f>($H$68) * (225)</f>
        <v>0</v>
      </c>
      <c r="AG68">
        <f>($I$68) * (80)</f>
        <v>0</v>
      </c>
      <c r="AH68">
        <f>($J$68) * (80)</f>
        <v>0</v>
      </c>
      <c r="AI68">
        <f>($K$68) * (225)</f>
        <v>0</v>
      </c>
      <c r="AJ68">
        <f>($L$68) * (80)</f>
        <v>0</v>
      </c>
      <c r="AK68">
        <f>($M$68) * (80)</f>
        <v>0</v>
      </c>
      <c r="AL68">
        <f>($N$68) * (295)</f>
        <v>0</v>
      </c>
      <c r="AM68">
        <f>($O$68) * (365)</f>
        <v>0</v>
      </c>
      <c r="AN68">
        <f>($P$68) * (220)</f>
        <v>0</v>
      </c>
      <c r="AO68">
        <f>($Q$68) * (220)</f>
        <v>0</v>
      </c>
      <c r="AP68">
        <f>($R$68) * (435)</f>
        <v>0</v>
      </c>
      <c r="AQ68">
        <f>($S$68) * (290)</f>
        <v>0</v>
      </c>
      <c r="AR68">
        <f>($T$68) * (290)</f>
        <v>0</v>
      </c>
      <c r="AS68">
        <f>($U$68) * (505)</f>
        <v>0</v>
      </c>
      <c r="AT68">
        <f>($V$68) * (360)</f>
        <v>0</v>
      </c>
      <c r="AU68">
        <f>($W$68) * (360)</f>
        <v>0</v>
      </c>
      <c r="AV68">
        <f>($X$68) * (575)</f>
        <v>0</v>
      </c>
      <c r="AW68">
        <f>($Y$68) * (430)</f>
        <v>0</v>
      </c>
      <c r="AX68">
        <f>($Z$68) * (645)</f>
        <v>0</v>
      </c>
      <c r="AY68">
        <f>($AA$68) * (500)</f>
        <v>0</v>
      </c>
      <c r="AZ68">
        <f>($AB$68) * (715)</f>
        <v>0</v>
      </c>
      <c r="BA68">
        <f>($AC$68) * (570)</f>
        <v>0</v>
      </c>
      <c r="BB68">
        <f>($AD$68) * (785)</f>
        <v>0</v>
      </c>
      <c r="BC68">
        <f>($AE$68) * (855)</f>
        <v>0</v>
      </c>
      <c r="BO68">
        <v>1</v>
      </c>
      <c r="BP68">
        <f>SUM($H$68:$O$68)</f>
        <v>0</v>
      </c>
    </row>
    <row r="69" spans="1:68" x14ac:dyDescent="0.25">
      <c r="A69">
        <v>168</v>
      </c>
      <c r="B69">
        <v>1</v>
      </c>
      <c r="C69">
        <v>20584</v>
      </c>
      <c r="D69">
        <v>1</v>
      </c>
      <c r="E69">
        <v>5</v>
      </c>
      <c r="F69" t="s">
        <v>10</v>
      </c>
      <c r="G69">
        <v>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f>($H$69) * (225)</f>
        <v>0</v>
      </c>
      <c r="AG69">
        <f>($I$69) * (40)</f>
        <v>0</v>
      </c>
      <c r="AH69">
        <f>($J$69) * (40)</f>
        <v>0</v>
      </c>
      <c r="AI69">
        <f>($K$69) * (225)</f>
        <v>0</v>
      </c>
      <c r="AJ69">
        <f>($L$69) * (40)</f>
        <v>0</v>
      </c>
      <c r="AK69">
        <f>($M$69) * (40)</f>
        <v>0</v>
      </c>
      <c r="AL69">
        <f>($N$69) * (225)</f>
        <v>0</v>
      </c>
      <c r="AM69">
        <f>($O$69) * (225)</f>
        <v>0</v>
      </c>
      <c r="AN69">
        <f>($P$69) * (40)</f>
        <v>0</v>
      </c>
      <c r="AO69">
        <f>($Q$69) * (40)</f>
        <v>0</v>
      </c>
      <c r="AP69">
        <f>($R$69) * (225)</f>
        <v>0</v>
      </c>
      <c r="AQ69">
        <f>($S$69) * (40)</f>
        <v>0</v>
      </c>
      <c r="AR69">
        <f>($T$69) * (40)</f>
        <v>0</v>
      </c>
      <c r="AS69">
        <f>($U$69) * (275)</f>
        <v>0</v>
      </c>
      <c r="AT69">
        <f>($V$69) * (90)</f>
        <v>0</v>
      </c>
      <c r="AU69">
        <f>($W$69) * (90)</f>
        <v>0</v>
      </c>
      <c r="AV69">
        <f>($X$69) * (325)</f>
        <v>0</v>
      </c>
      <c r="AW69">
        <f>($Y$69) * (140)</f>
        <v>0</v>
      </c>
      <c r="AX69">
        <f>($Z$69) * (375)</f>
        <v>0</v>
      </c>
      <c r="AY69">
        <f>($AA$69) * (190)</f>
        <v>0</v>
      </c>
      <c r="AZ69">
        <f>($AB$69) * (425)</f>
        <v>0</v>
      </c>
      <c r="BA69">
        <f>($AC$69) * (240)</f>
        <v>0</v>
      </c>
      <c r="BB69">
        <f>($AD$69) * (475)</f>
        <v>0</v>
      </c>
      <c r="BC69">
        <f>($AE$69) * (525)</f>
        <v>0</v>
      </c>
      <c r="BO69">
        <v>1</v>
      </c>
      <c r="BP69">
        <f>SUM($K$69:$R$69)</f>
        <v>0</v>
      </c>
    </row>
    <row r="70" spans="1:68" x14ac:dyDescent="0.25">
      <c r="A70">
        <v>169</v>
      </c>
      <c r="B70">
        <v>1</v>
      </c>
      <c r="C70">
        <v>21473</v>
      </c>
      <c r="D70">
        <v>2</v>
      </c>
      <c r="E70">
        <v>5</v>
      </c>
      <c r="F70" t="s">
        <v>10</v>
      </c>
      <c r="G70">
        <v>3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f>($H$70) * (225)</f>
        <v>0</v>
      </c>
      <c r="AG70">
        <f>($I$70) * (40)</f>
        <v>0</v>
      </c>
      <c r="AH70">
        <f>($J$70) * (40)</f>
        <v>0</v>
      </c>
      <c r="AI70">
        <f>($K$70) * (225)</f>
        <v>0</v>
      </c>
      <c r="AJ70">
        <f>($L$70) * (40)</f>
        <v>0</v>
      </c>
      <c r="AK70">
        <f>($M$70) * (40)</f>
        <v>0</v>
      </c>
      <c r="AL70">
        <f>($N$70) * (225)</f>
        <v>0</v>
      </c>
      <c r="AM70">
        <f>($O$70) * (225)</f>
        <v>0</v>
      </c>
      <c r="AN70">
        <f>($P$70) * (40)</f>
        <v>0</v>
      </c>
      <c r="AO70">
        <f>($Q$70) * (40)</f>
        <v>0</v>
      </c>
      <c r="AP70">
        <f>($R$70) * (275)</f>
        <v>0</v>
      </c>
      <c r="AQ70">
        <f>($S$70) * (90)</f>
        <v>0</v>
      </c>
      <c r="AR70">
        <f>($T$70) * (90)</f>
        <v>0</v>
      </c>
      <c r="AS70">
        <f>($U$70) * (325)</f>
        <v>0</v>
      </c>
      <c r="AT70">
        <f>($V$70) * (140)</f>
        <v>0</v>
      </c>
      <c r="AU70">
        <f>($W$70) * (140)</f>
        <v>0</v>
      </c>
      <c r="AV70">
        <f>($X$70) * (375)</f>
        <v>0</v>
      </c>
      <c r="AW70">
        <f>($Y$70) * (190)</f>
        <v>0</v>
      </c>
      <c r="AX70">
        <f>($Z$70) * (425)</f>
        <v>0</v>
      </c>
      <c r="AY70">
        <f>($AA$70) * (240)</f>
        <v>0</v>
      </c>
      <c r="AZ70">
        <f>($AB$70) * (475)</f>
        <v>0</v>
      </c>
      <c r="BA70">
        <f>($AC$70) * (290)</f>
        <v>0</v>
      </c>
      <c r="BB70">
        <f>($AD$70) * (525)</f>
        <v>0</v>
      </c>
      <c r="BC70">
        <f>($AE$70) * (575)</f>
        <v>0</v>
      </c>
      <c r="BO70">
        <v>1</v>
      </c>
      <c r="BP70">
        <f>SUM($N$70:$R$70)</f>
        <v>0</v>
      </c>
    </row>
    <row r="71" spans="1:68" x14ac:dyDescent="0.25">
      <c r="A71">
        <v>173</v>
      </c>
      <c r="B71">
        <v>1</v>
      </c>
      <c r="C71">
        <v>18890</v>
      </c>
      <c r="D71">
        <v>4</v>
      </c>
      <c r="E71">
        <v>8</v>
      </c>
      <c r="F71" t="s">
        <v>10</v>
      </c>
      <c r="G71">
        <v>4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f>($H$71) * (225)</f>
        <v>0</v>
      </c>
      <c r="AG71">
        <f>($I$71) * (40)</f>
        <v>0</v>
      </c>
      <c r="AH71">
        <f>($J$71) * (40)</f>
        <v>0</v>
      </c>
      <c r="AI71">
        <f>($K$71) * (225)</f>
        <v>0</v>
      </c>
      <c r="AJ71">
        <f>($L$71) * (40)</f>
        <v>0</v>
      </c>
      <c r="AK71">
        <f>($M$71) * (40)</f>
        <v>0</v>
      </c>
      <c r="AL71">
        <f>($N$71) * (225)</f>
        <v>0</v>
      </c>
      <c r="AM71">
        <f>($O$71) * (225)</f>
        <v>0</v>
      </c>
      <c r="AN71">
        <f>($P$71) * (40)</f>
        <v>0</v>
      </c>
      <c r="AO71">
        <f>($Q$71) * (40)</f>
        <v>0</v>
      </c>
      <c r="AP71">
        <f>($R$71) * (225)</f>
        <v>0</v>
      </c>
      <c r="AQ71">
        <f>($S$71) * (40)</f>
        <v>0</v>
      </c>
      <c r="AR71">
        <f>($T$71) * (40)</f>
        <v>0</v>
      </c>
      <c r="AS71">
        <f>($U$71) * (225)</f>
        <v>0</v>
      </c>
      <c r="AT71">
        <f>($V$71) * (40)</f>
        <v>0</v>
      </c>
      <c r="AU71">
        <f>($W$71) * (40)</f>
        <v>0</v>
      </c>
      <c r="AV71">
        <f>($X$71) * (225)</f>
        <v>0</v>
      </c>
      <c r="AW71">
        <f>($Y$71) * (40)</f>
        <v>0</v>
      </c>
      <c r="AX71">
        <f>($Z$71) * (275)</f>
        <v>0</v>
      </c>
      <c r="AY71">
        <f>($AA$71) * (90)</f>
        <v>0</v>
      </c>
      <c r="AZ71">
        <f>($AB$71) * (325)</f>
        <v>0</v>
      </c>
      <c r="BA71">
        <f>($AC$71) * (140)</f>
        <v>0</v>
      </c>
      <c r="BB71">
        <f>($AD$71) * (375)</f>
        <v>0</v>
      </c>
      <c r="BC71">
        <f>($AE$71) * (425)</f>
        <v>0</v>
      </c>
      <c r="BO71">
        <v>1</v>
      </c>
      <c r="BP71">
        <f>SUM($R$71:$Z$71)</f>
        <v>0</v>
      </c>
    </row>
    <row r="72" spans="1:68" x14ac:dyDescent="0.25">
      <c r="A72">
        <v>181</v>
      </c>
      <c r="B72">
        <v>2</v>
      </c>
      <c r="C72">
        <v>29200</v>
      </c>
      <c r="D72">
        <v>4</v>
      </c>
      <c r="E72">
        <v>7</v>
      </c>
      <c r="F72" t="s">
        <v>10</v>
      </c>
      <c r="G72">
        <v>4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f>($H$72) * (225)</f>
        <v>0</v>
      </c>
      <c r="AG72">
        <f>($I$72) * (80)</f>
        <v>0</v>
      </c>
      <c r="AH72">
        <f>($J$72) * (80)</f>
        <v>0</v>
      </c>
      <c r="AI72">
        <f>($K$72) * (225)</f>
        <v>0</v>
      </c>
      <c r="AJ72">
        <f>($L$72) * (80)</f>
        <v>0</v>
      </c>
      <c r="AK72">
        <f>($M$72) * (80)</f>
        <v>0</v>
      </c>
      <c r="AL72">
        <f>($N$72) * (225)</f>
        <v>0</v>
      </c>
      <c r="AM72">
        <f>($O$72) * (225)</f>
        <v>0</v>
      </c>
      <c r="AN72">
        <f>($P$72) * (80)</f>
        <v>0</v>
      </c>
      <c r="AO72">
        <f>($Q$72) * (80)</f>
        <v>0</v>
      </c>
      <c r="AP72">
        <f>($R$72) * (225)</f>
        <v>0</v>
      </c>
      <c r="AQ72">
        <f>($S$72) * (80)</f>
        <v>0</v>
      </c>
      <c r="AR72">
        <f>($T$72) * (80)</f>
        <v>0</v>
      </c>
      <c r="AS72">
        <f>($U$72) * (225)</f>
        <v>0</v>
      </c>
      <c r="AT72">
        <f>($V$72) * (80)</f>
        <v>0</v>
      </c>
      <c r="AU72">
        <f>($W$72) * (80)</f>
        <v>0</v>
      </c>
      <c r="AV72">
        <f>($X$72) * (225)</f>
        <v>0</v>
      </c>
      <c r="AW72">
        <f>($Y$72) * (80)</f>
        <v>0</v>
      </c>
      <c r="AX72">
        <f>($Z$72) * (295)</f>
        <v>0</v>
      </c>
      <c r="AY72">
        <f>($AA$72) * (150)</f>
        <v>0</v>
      </c>
      <c r="AZ72">
        <f>($AB$72) * (365)</f>
        <v>0</v>
      </c>
      <c r="BA72">
        <f>($AC$72) * (220)</f>
        <v>0</v>
      </c>
      <c r="BB72">
        <f>($AD$72) * (435)</f>
        <v>0</v>
      </c>
      <c r="BC72">
        <f>($AE$72) * (505)</f>
        <v>0</v>
      </c>
      <c r="BO72">
        <v>1</v>
      </c>
      <c r="BP72">
        <f>SUM($R$72:$X$72)</f>
        <v>0</v>
      </c>
    </row>
    <row r="73" spans="1:68" x14ac:dyDescent="0.25">
      <c r="A73">
        <v>182</v>
      </c>
      <c r="B73">
        <v>1</v>
      </c>
      <c r="C73">
        <v>17300</v>
      </c>
      <c r="D73">
        <v>6</v>
      </c>
      <c r="E73">
        <v>9</v>
      </c>
      <c r="F73" t="s">
        <v>10</v>
      </c>
      <c r="G73">
        <v>5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f>($H$73) * (225)</f>
        <v>0</v>
      </c>
      <c r="AG73">
        <f>($I$73) * (40)</f>
        <v>0</v>
      </c>
      <c r="AH73">
        <f>($J$73) * (40)</f>
        <v>0</v>
      </c>
      <c r="AI73">
        <f>($K$73) * (225)</f>
        <v>0</v>
      </c>
      <c r="AJ73">
        <f>($L$73) * (40)</f>
        <v>0</v>
      </c>
      <c r="AK73">
        <f>($M$73) * (40)</f>
        <v>0</v>
      </c>
      <c r="AL73">
        <f>($N$73) * (225)</f>
        <v>0</v>
      </c>
      <c r="AM73">
        <f>($O$73) * (225)</f>
        <v>0</v>
      </c>
      <c r="AN73">
        <f>($P$73) * (40)</f>
        <v>0</v>
      </c>
      <c r="AO73">
        <f>($Q$73) * (40)</f>
        <v>0</v>
      </c>
      <c r="AP73">
        <f>($R$73) * (225)</f>
        <v>0</v>
      </c>
      <c r="AQ73">
        <f>($S$73) * (40)</f>
        <v>0</v>
      </c>
      <c r="AR73">
        <f>($T$73) * (40)</f>
        <v>0</v>
      </c>
      <c r="AS73">
        <f>($U$73) * (225)</f>
        <v>0</v>
      </c>
      <c r="AT73">
        <f>($V$73) * (40)</f>
        <v>0</v>
      </c>
      <c r="AU73">
        <f>($W$73) * (40)</f>
        <v>0</v>
      </c>
      <c r="AV73">
        <f>($X$73) * (225)</f>
        <v>0</v>
      </c>
      <c r="AW73">
        <f>($Y$73) * (40)</f>
        <v>0</v>
      </c>
      <c r="AX73">
        <f>($Z$73) * (225)</f>
        <v>0</v>
      </c>
      <c r="AY73">
        <f>($AA$73) * (40)</f>
        <v>0</v>
      </c>
      <c r="AZ73">
        <f>($AB$73) * (225)</f>
        <v>0</v>
      </c>
      <c r="BA73">
        <f>($AC$73) * (40)</f>
        <v>0</v>
      </c>
      <c r="BB73">
        <f>($AD$73) * (225)</f>
        <v>0</v>
      </c>
      <c r="BC73">
        <f>($AE$73) * (275)</f>
        <v>0</v>
      </c>
      <c r="BO73">
        <v>1</v>
      </c>
      <c r="BP73">
        <f>SUM($X$73:$AB$73)</f>
        <v>0</v>
      </c>
    </row>
    <row r="74" spans="1:68" x14ac:dyDescent="0.25">
      <c r="A74">
        <v>184</v>
      </c>
      <c r="B74">
        <v>1</v>
      </c>
      <c r="C74">
        <v>24500</v>
      </c>
      <c r="D74">
        <v>1</v>
      </c>
      <c r="E74">
        <v>6</v>
      </c>
      <c r="F74" t="s">
        <v>10</v>
      </c>
      <c r="G74">
        <v>4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f>($H$74) * (225)</f>
        <v>0</v>
      </c>
      <c r="AG74">
        <f>($I$74) * (40)</f>
        <v>0</v>
      </c>
      <c r="AH74">
        <f>($J$74) * (40)</f>
        <v>0</v>
      </c>
      <c r="AI74">
        <f>($K$74) * (225)</f>
        <v>0</v>
      </c>
      <c r="AJ74">
        <f>($L$74) * (40)</f>
        <v>0</v>
      </c>
      <c r="AK74">
        <f>($M$74) * (40)</f>
        <v>0</v>
      </c>
      <c r="AL74">
        <f>($N$74) * (225)</f>
        <v>0</v>
      </c>
      <c r="AM74">
        <f>($O$74) * (225)</f>
        <v>0</v>
      </c>
      <c r="AN74">
        <f>($P$74) * (40)</f>
        <v>0</v>
      </c>
      <c r="AO74">
        <f>($Q$74) * (40)</f>
        <v>0</v>
      </c>
      <c r="AP74">
        <f>($R$74) * (275)</f>
        <v>0</v>
      </c>
      <c r="AQ74">
        <f>($S$74) * (90)</f>
        <v>0</v>
      </c>
      <c r="AR74">
        <f>($T$74) * (90)</f>
        <v>0</v>
      </c>
      <c r="AS74">
        <f>($U$74) * (325)</f>
        <v>0</v>
      </c>
      <c r="AT74">
        <f>($V$74) * (140)</f>
        <v>0</v>
      </c>
      <c r="AU74">
        <f>($W$74) * (140)</f>
        <v>0</v>
      </c>
      <c r="AV74">
        <f>($X$74) * (375)</f>
        <v>0</v>
      </c>
      <c r="AW74">
        <f>($Y$74) * (190)</f>
        <v>0</v>
      </c>
      <c r="AX74">
        <f>($Z$74) * (425)</f>
        <v>0</v>
      </c>
      <c r="AY74">
        <f>($AA$74) * (240)</f>
        <v>0</v>
      </c>
      <c r="AZ74">
        <f>($AB$74) * (475)</f>
        <v>0</v>
      </c>
      <c r="BA74">
        <f>($AC$74) * (290)</f>
        <v>0</v>
      </c>
      <c r="BB74">
        <f>($AD$74) * (525)</f>
        <v>0</v>
      </c>
      <c r="BC74">
        <f>($AE$74) * (575)</f>
        <v>0</v>
      </c>
      <c r="BO74">
        <v>1</v>
      </c>
      <c r="BP74">
        <f>SUM($K$74:$U$74)</f>
        <v>0</v>
      </c>
    </row>
    <row r="75" spans="1:68" x14ac:dyDescent="0.25">
      <c r="A75">
        <v>188</v>
      </c>
      <c r="B75">
        <v>2</v>
      </c>
      <c r="C75">
        <v>4200</v>
      </c>
      <c r="D75">
        <v>4</v>
      </c>
      <c r="E75">
        <v>9</v>
      </c>
      <c r="F75" t="s">
        <v>10</v>
      </c>
      <c r="G75">
        <v>4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f>($H$75) * (225)</f>
        <v>0</v>
      </c>
      <c r="AG75">
        <f>($I$75) * (80)</f>
        <v>0</v>
      </c>
      <c r="AH75">
        <f>($J$75) * (80)</f>
        <v>0</v>
      </c>
      <c r="AI75">
        <f>($K$75) * (225)</f>
        <v>0</v>
      </c>
      <c r="AJ75">
        <f>($L$75) * (80)</f>
        <v>0</v>
      </c>
      <c r="AK75">
        <f>($M$75) * (80)</f>
        <v>0</v>
      </c>
      <c r="AL75">
        <f>($N$75) * (225)</f>
        <v>0</v>
      </c>
      <c r="AM75">
        <f>($O$75) * (225)</f>
        <v>0</v>
      </c>
      <c r="AN75">
        <f>($P$75) * (80)</f>
        <v>0</v>
      </c>
      <c r="AO75">
        <f>($Q$75) * (80)</f>
        <v>0</v>
      </c>
      <c r="AP75">
        <f>($R$75) * (225)</f>
        <v>0</v>
      </c>
      <c r="AQ75">
        <f>($S$75) * (80)</f>
        <v>0</v>
      </c>
      <c r="AR75">
        <f>($T$75) * (80)</f>
        <v>0</v>
      </c>
      <c r="AS75">
        <f>($U$75) * (225)</f>
        <v>0</v>
      </c>
      <c r="AT75">
        <f>($V$75) * (80)</f>
        <v>0</v>
      </c>
      <c r="AU75">
        <f>($W$75) * (80)</f>
        <v>0</v>
      </c>
      <c r="AV75">
        <f>($X$75) * (225)</f>
        <v>0</v>
      </c>
      <c r="AW75">
        <f>($Y$75) * (80)</f>
        <v>0</v>
      </c>
      <c r="AX75">
        <f>($Z$75) * (295)</f>
        <v>0</v>
      </c>
      <c r="AY75">
        <f>($AA$75) * (150)</f>
        <v>0</v>
      </c>
      <c r="AZ75">
        <f>($AB$75) * (365)</f>
        <v>0</v>
      </c>
      <c r="BA75">
        <f>($AC$75) * (220)</f>
        <v>0</v>
      </c>
      <c r="BB75">
        <f>($AD$75) * (435)</f>
        <v>0</v>
      </c>
      <c r="BC75">
        <f>($AE$75) * (505)</f>
        <v>0</v>
      </c>
      <c r="BO75">
        <v>1</v>
      </c>
      <c r="BP75">
        <f>SUM($R$75:$AB$75)</f>
        <v>0</v>
      </c>
    </row>
    <row r="76" spans="1:68" x14ac:dyDescent="0.25">
      <c r="A76">
        <v>200</v>
      </c>
      <c r="B76">
        <v>1</v>
      </c>
      <c r="C76">
        <v>24900</v>
      </c>
      <c r="D76">
        <v>2</v>
      </c>
      <c r="E76">
        <v>5</v>
      </c>
      <c r="F76" t="s">
        <v>10</v>
      </c>
      <c r="G76">
        <v>3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f>($H$76) * (225)</f>
        <v>0</v>
      </c>
      <c r="AG76">
        <f>($I$76) * (40)</f>
        <v>0</v>
      </c>
      <c r="AH76">
        <f>($J$76) * (40)</f>
        <v>0</v>
      </c>
      <c r="AI76">
        <f>($K$76) * (225)</f>
        <v>0</v>
      </c>
      <c r="AJ76">
        <f>($L$76) * (40)</f>
        <v>0</v>
      </c>
      <c r="AK76">
        <f>($M$76) * (40)</f>
        <v>0</v>
      </c>
      <c r="AL76">
        <f>($N$76) * (225)</f>
        <v>0</v>
      </c>
      <c r="AM76">
        <f>($O$76) * (225)</f>
        <v>0</v>
      </c>
      <c r="AN76">
        <f>($P$76) * (40)</f>
        <v>0</v>
      </c>
      <c r="AO76">
        <f>($Q$76) * (40)</f>
        <v>0</v>
      </c>
      <c r="AP76">
        <f>($R$76) * (275)</f>
        <v>0</v>
      </c>
      <c r="AQ76">
        <f>($S$76) * (90)</f>
        <v>0</v>
      </c>
      <c r="AR76">
        <f>($T$76) * (90)</f>
        <v>0</v>
      </c>
      <c r="AS76">
        <f>($U$76) * (325)</f>
        <v>0</v>
      </c>
      <c r="AT76">
        <f>($V$76) * (140)</f>
        <v>0</v>
      </c>
      <c r="AU76">
        <f>($W$76) * (140)</f>
        <v>0</v>
      </c>
      <c r="AV76">
        <f>($X$76) * (375)</f>
        <v>0</v>
      </c>
      <c r="AW76">
        <f>($Y$76) * (190)</f>
        <v>0</v>
      </c>
      <c r="AX76">
        <f>($Z$76) * (425)</f>
        <v>0</v>
      </c>
      <c r="AY76">
        <f>($AA$76) * (240)</f>
        <v>0</v>
      </c>
      <c r="AZ76">
        <f>($AB$76) * (475)</f>
        <v>0</v>
      </c>
      <c r="BA76">
        <f>($AC$76) * (290)</f>
        <v>0</v>
      </c>
      <c r="BB76">
        <f>($AD$76) * (525)</f>
        <v>0</v>
      </c>
      <c r="BC76">
        <f>($AE$76) * (575)</f>
        <v>0</v>
      </c>
      <c r="BO76">
        <v>1</v>
      </c>
      <c r="BP76">
        <f>SUM($N$76:$R$76)</f>
        <v>0</v>
      </c>
    </row>
    <row r="77" spans="1:68" x14ac:dyDescent="0.25">
      <c r="A77">
        <v>202</v>
      </c>
      <c r="B77">
        <v>1</v>
      </c>
      <c r="C77">
        <v>24900</v>
      </c>
      <c r="D77">
        <v>2</v>
      </c>
      <c r="E77">
        <v>7</v>
      </c>
      <c r="F77" t="s">
        <v>10</v>
      </c>
      <c r="G77">
        <v>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f>($H$77) * (225)</f>
        <v>0</v>
      </c>
      <c r="AG77">
        <f>($I$77) * (40)</f>
        <v>0</v>
      </c>
      <c r="AH77">
        <f>($J$77) * (40)</f>
        <v>0</v>
      </c>
      <c r="AI77">
        <f>($K$77) * (225)</f>
        <v>0</v>
      </c>
      <c r="AJ77">
        <f>($L$77) * (40)</f>
        <v>0</v>
      </c>
      <c r="AK77">
        <f>($M$77) * (40)</f>
        <v>0</v>
      </c>
      <c r="AL77">
        <f>($N$77) * (225)</f>
        <v>0</v>
      </c>
      <c r="AM77">
        <f>($O$77) * (225)</f>
        <v>0</v>
      </c>
      <c r="AN77">
        <f>($P$77) * (40)</f>
        <v>0</v>
      </c>
      <c r="AO77">
        <f>($Q$77) * (40)</f>
        <v>0</v>
      </c>
      <c r="AP77">
        <f>($R$77) * (275)</f>
        <v>0</v>
      </c>
      <c r="AQ77">
        <f>($S$77) * (90)</f>
        <v>0</v>
      </c>
      <c r="AR77">
        <f>($T$77) * (90)</f>
        <v>0</v>
      </c>
      <c r="AS77">
        <f>($U$77) * (325)</f>
        <v>0</v>
      </c>
      <c r="AT77">
        <f>($V$77) * (140)</f>
        <v>0</v>
      </c>
      <c r="AU77">
        <f>($W$77) * (140)</f>
        <v>0</v>
      </c>
      <c r="AV77">
        <f>($X$77) * (375)</f>
        <v>0</v>
      </c>
      <c r="AW77">
        <f>($Y$77) * (190)</f>
        <v>0</v>
      </c>
      <c r="AX77">
        <f>($Z$77) * (425)</f>
        <v>0</v>
      </c>
      <c r="AY77">
        <f>($AA$77) * (240)</f>
        <v>0</v>
      </c>
      <c r="AZ77">
        <f>($AB$77) * (475)</f>
        <v>0</v>
      </c>
      <c r="BA77">
        <f>($AC$77) * (290)</f>
        <v>0</v>
      </c>
      <c r="BB77">
        <f>($AD$77) * (525)</f>
        <v>0</v>
      </c>
      <c r="BC77">
        <f>($AE$77) * (575)</f>
        <v>0</v>
      </c>
      <c r="BO77">
        <v>1</v>
      </c>
      <c r="BP77">
        <f>SUM($N$77:$X$77)</f>
        <v>0</v>
      </c>
    </row>
    <row r="78" spans="1:68" x14ac:dyDescent="0.25">
      <c r="A78">
        <v>205</v>
      </c>
      <c r="B78">
        <v>1</v>
      </c>
      <c r="C78">
        <v>6300</v>
      </c>
      <c r="D78">
        <v>0</v>
      </c>
      <c r="E78">
        <v>3</v>
      </c>
      <c r="F78" t="s">
        <v>10</v>
      </c>
      <c r="G78">
        <v>5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f>($H$78) * (225)</f>
        <v>0</v>
      </c>
      <c r="AG78">
        <f>($I$78) * (40)</f>
        <v>0</v>
      </c>
      <c r="AH78">
        <f>($J$78) * (40)</f>
        <v>0</v>
      </c>
      <c r="AI78">
        <f>($K$78) * (225)</f>
        <v>0</v>
      </c>
      <c r="AJ78">
        <f>($L$78) * (40)</f>
        <v>0</v>
      </c>
      <c r="AK78">
        <f>($M$78) * (40)</f>
        <v>0</v>
      </c>
      <c r="AL78">
        <f>($N$78) * (225)</f>
        <v>0</v>
      </c>
      <c r="AM78">
        <f>($O$78) * (225)</f>
        <v>0</v>
      </c>
      <c r="AN78">
        <f>($P$78) * (40)</f>
        <v>0</v>
      </c>
      <c r="AO78">
        <f>($Q$78) * (40)</f>
        <v>0</v>
      </c>
      <c r="AP78">
        <f>($R$78) * (275)</f>
        <v>0</v>
      </c>
      <c r="AQ78">
        <f>($S$78) * (90)</f>
        <v>0</v>
      </c>
      <c r="AR78">
        <f>($T$78) * (90)</f>
        <v>0</v>
      </c>
      <c r="AS78">
        <f>($U$78) * (325)</f>
        <v>0</v>
      </c>
      <c r="AT78">
        <f>($V$78) * (140)</f>
        <v>0</v>
      </c>
      <c r="AU78">
        <f>($W$78) * (140)</f>
        <v>0</v>
      </c>
      <c r="AV78">
        <f>($X$78) * (375)</f>
        <v>0</v>
      </c>
      <c r="AW78">
        <f>($Y$78) * (190)</f>
        <v>0</v>
      </c>
      <c r="AX78">
        <f>($Z$78) * (425)</f>
        <v>0</v>
      </c>
      <c r="AY78">
        <f>($AA$78) * (240)</f>
        <v>0</v>
      </c>
      <c r="AZ78">
        <f>($AB$78) * (475)</f>
        <v>0</v>
      </c>
      <c r="BA78">
        <f>($AC$78) * (290)</f>
        <v>0</v>
      </c>
      <c r="BB78">
        <f>($AD$78) * (525)</f>
        <v>0</v>
      </c>
      <c r="BC78">
        <f>($AE$78) * (575)</f>
        <v>0</v>
      </c>
      <c r="BO78">
        <v>1</v>
      </c>
      <c r="BP78">
        <f>SUM($H$78:$N$78)</f>
        <v>0</v>
      </c>
    </row>
    <row r="79" spans="1:68" x14ac:dyDescent="0.25">
      <c r="A79">
        <v>214</v>
      </c>
      <c r="B79">
        <v>1</v>
      </c>
      <c r="C79">
        <v>23440</v>
      </c>
      <c r="D79">
        <v>0</v>
      </c>
      <c r="E79">
        <v>3</v>
      </c>
      <c r="F79" t="s">
        <v>10</v>
      </c>
      <c r="G79">
        <v>3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f>($H$79) * (225)</f>
        <v>0</v>
      </c>
      <c r="AG79">
        <f>($I$79) * (40)</f>
        <v>0</v>
      </c>
      <c r="AH79">
        <f>($J$79) * (40)</f>
        <v>0</v>
      </c>
      <c r="AI79">
        <f>($K$79) * (225)</f>
        <v>0</v>
      </c>
      <c r="AJ79">
        <f>($L$79) * (40)</f>
        <v>0</v>
      </c>
      <c r="AK79">
        <f>($M$79) * (40)</f>
        <v>0</v>
      </c>
      <c r="AL79">
        <f>($N$79) * (275)</f>
        <v>0</v>
      </c>
      <c r="AM79">
        <f>($O$79) * (325)</f>
        <v>0</v>
      </c>
      <c r="AN79">
        <f>($P$79) * (140)</f>
        <v>0</v>
      </c>
      <c r="AO79">
        <f>($Q$79) * (140)</f>
        <v>0</v>
      </c>
      <c r="AP79">
        <f>($R$79) * (375)</f>
        <v>0</v>
      </c>
      <c r="AQ79">
        <f>($S$79) * (190)</f>
        <v>0</v>
      </c>
      <c r="AR79">
        <f>($T$79) * (190)</f>
        <v>0</v>
      </c>
      <c r="AS79">
        <f>($U$79) * (425)</f>
        <v>0</v>
      </c>
      <c r="AT79">
        <f>($V$79) * (240)</f>
        <v>0</v>
      </c>
      <c r="AU79">
        <f>($W$79) * (240)</f>
        <v>0</v>
      </c>
      <c r="AV79">
        <f>($X$79) * (475)</f>
        <v>0</v>
      </c>
      <c r="AW79">
        <f>($Y$79) * (290)</f>
        <v>0</v>
      </c>
      <c r="AX79">
        <f>($Z$79) * (525)</f>
        <v>0</v>
      </c>
      <c r="AY79">
        <f>($AA$79) * (340)</f>
        <v>0</v>
      </c>
      <c r="AZ79">
        <f>($AB$79) * (575)</f>
        <v>0</v>
      </c>
      <c r="BA79">
        <f>($AC$79) * (390)</f>
        <v>0</v>
      </c>
      <c r="BB79">
        <f>($AD$79) * (625)</f>
        <v>0</v>
      </c>
      <c r="BC79">
        <f>($AE$79) * (675)</f>
        <v>0</v>
      </c>
      <c r="BO79">
        <v>1</v>
      </c>
      <c r="BP79">
        <f>SUM($H$79:$N$79)</f>
        <v>0</v>
      </c>
    </row>
    <row r="80" spans="1:68" x14ac:dyDescent="0.25">
      <c r="A80">
        <v>217</v>
      </c>
      <c r="B80">
        <v>1</v>
      </c>
      <c r="C80">
        <v>23440</v>
      </c>
      <c r="D80">
        <v>0</v>
      </c>
      <c r="E80">
        <v>3</v>
      </c>
      <c r="F80" t="s">
        <v>10</v>
      </c>
      <c r="G80">
        <v>3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f>($H$80) * (225)</f>
        <v>0</v>
      </c>
      <c r="AG80">
        <f>($I$80) * (40)</f>
        <v>0</v>
      </c>
      <c r="AH80">
        <f>($J$80) * (40)</f>
        <v>0</v>
      </c>
      <c r="AI80">
        <f>($K$80) * (225)</f>
        <v>0</v>
      </c>
      <c r="AJ80">
        <f>($L$80) * (40)</f>
        <v>0</v>
      </c>
      <c r="AK80">
        <f>($M$80) * (40)</f>
        <v>0</v>
      </c>
      <c r="AL80">
        <f>($N$80) * (275)</f>
        <v>0</v>
      </c>
      <c r="AM80">
        <f>($O$80) * (325)</f>
        <v>0</v>
      </c>
      <c r="AN80">
        <f>($P$80) * (140)</f>
        <v>0</v>
      </c>
      <c r="AO80">
        <f>($Q$80) * (140)</f>
        <v>0</v>
      </c>
      <c r="AP80">
        <f>($R$80) * (375)</f>
        <v>0</v>
      </c>
      <c r="AQ80">
        <f>($S$80) * (190)</f>
        <v>0</v>
      </c>
      <c r="AR80">
        <f>($T$80) * (190)</f>
        <v>0</v>
      </c>
      <c r="AS80">
        <f>($U$80) * (425)</f>
        <v>0</v>
      </c>
      <c r="AT80">
        <f>($V$80) * (240)</f>
        <v>0</v>
      </c>
      <c r="AU80">
        <f>($W$80) * (240)</f>
        <v>0</v>
      </c>
      <c r="AV80">
        <f>($X$80) * (475)</f>
        <v>0</v>
      </c>
      <c r="AW80">
        <f>($Y$80) * (290)</f>
        <v>0</v>
      </c>
      <c r="AX80">
        <f>($Z$80) * (525)</f>
        <v>0</v>
      </c>
      <c r="AY80">
        <f>($AA$80) * (340)</f>
        <v>0</v>
      </c>
      <c r="AZ80">
        <f>($AB$80) * (575)</f>
        <v>0</v>
      </c>
      <c r="BA80">
        <f>($AC$80) * (390)</f>
        <v>0</v>
      </c>
      <c r="BB80">
        <f>($AD$80) * (625)</f>
        <v>0</v>
      </c>
      <c r="BC80">
        <f>($AE$80) * (675)</f>
        <v>0</v>
      </c>
      <c r="BO80">
        <v>1</v>
      </c>
      <c r="BP80">
        <f>SUM($H$80:$N$80)</f>
        <v>0</v>
      </c>
    </row>
    <row r="81" spans="1:68" x14ac:dyDescent="0.25">
      <c r="A81">
        <v>223</v>
      </c>
      <c r="B81">
        <v>2</v>
      </c>
      <c r="C81">
        <v>9878</v>
      </c>
      <c r="D81">
        <v>3</v>
      </c>
      <c r="E81">
        <v>8</v>
      </c>
      <c r="F81" t="s">
        <v>10</v>
      </c>
      <c r="G81">
        <v>4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f>($H$81) * (225)</f>
        <v>0</v>
      </c>
      <c r="AG81">
        <f>($I$81) * (80)</f>
        <v>0</v>
      </c>
      <c r="AH81">
        <f>($J$81) * (80)</f>
        <v>0</v>
      </c>
      <c r="AI81">
        <f>($K$81) * (225)</f>
        <v>0</v>
      </c>
      <c r="AJ81">
        <f>($L$81) * (80)</f>
        <v>0</v>
      </c>
      <c r="AK81">
        <f>($M$81) * (80)</f>
        <v>0</v>
      </c>
      <c r="AL81">
        <f>($N$81) * (225)</f>
        <v>0</v>
      </c>
      <c r="AM81">
        <f>($O$81) * (225)</f>
        <v>0</v>
      </c>
      <c r="AN81">
        <f>($P$81) * (80)</f>
        <v>0</v>
      </c>
      <c r="AO81">
        <f>($Q$81) * (80)</f>
        <v>0</v>
      </c>
      <c r="AP81">
        <f>($R$81) * (225)</f>
        <v>0</v>
      </c>
      <c r="AQ81">
        <f>($S$81) * (80)</f>
        <v>0</v>
      </c>
      <c r="AR81">
        <f>($T$81) * (80)</f>
        <v>0</v>
      </c>
      <c r="AS81">
        <f>($U$81) * (225)</f>
        <v>0</v>
      </c>
      <c r="AT81">
        <f>($V$81) * (80)</f>
        <v>0</v>
      </c>
      <c r="AU81">
        <f>($W$81) * (80)</f>
        <v>0</v>
      </c>
      <c r="AV81">
        <f>($X$81) * (295)</f>
        <v>0</v>
      </c>
      <c r="AW81">
        <f>($Y$81) * (150)</f>
        <v>0</v>
      </c>
      <c r="AX81">
        <f>($Z$81) * (365)</f>
        <v>0</v>
      </c>
      <c r="AY81">
        <f>($AA$81) * (220)</f>
        <v>0</v>
      </c>
      <c r="AZ81">
        <f>($AB$81) * (435)</f>
        <v>0</v>
      </c>
      <c r="BA81">
        <f>($AC$81) * (290)</f>
        <v>0</v>
      </c>
      <c r="BB81">
        <f>($AD$81) * (505)</f>
        <v>0</v>
      </c>
      <c r="BC81">
        <f>($AE$81) * (575)</f>
        <v>0</v>
      </c>
      <c r="BO81">
        <v>1</v>
      </c>
      <c r="BP81">
        <f>SUM($O$81:$Z$81)</f>
        <v>0</v>
      </c>
    </row>
    <row r="82" spans="1:68" x14ac:dyDescent="0.25">
      <c r="A82">
        <v>224</v>
      </c>
      <c r="B82">
        <v>2</v>
      </c>
      <c r="C82">
        <v>20260</v>
      </c>
      <c r="D82">
        <v>6</v>
      </c>
      <c r="E82">
        <v>11</v>
      </c>
      <c r="F82" t="s">
        <v>10</v>
      </c>
      <c r="G82">
        <v>2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f>($H$82) * (225)</f>
        <v>0</v>
      </c>
      <c r="AG82">
        <f>($I$82) * (80)</f>
        <v>0</v>
      </c>
      <c r="AH82">
        <f>($J$82) * (80)</f>
        <v>0</v>
      </c>
      <c r="AI82">
        <f>($K$82) * (225)</f>
        <v>0</v>
      </c>
      <c r="AJ82">
        <f>($L$82) * (80)</f>
        <v>0</v>
      </c>
      <c r="AK82">
        <f>($M$82) * (80)</f>
        <v>0</v>
      </c>
      <c r="AL82">
        <f>($N$82) * (225)</f>
        <v>0</v>
      </c>
      <c r="AM82">
        <f>($O$82) * (225)</f>
        <v>0</v>
      </c>
      <c r="AN82">
        <f>($P$82) * (80)</f>
        <v>0</v>
      </c>
      <c r="AO82">
        <f>($Q$82) * (80)</f>
        <v>0</v>
      </c>
      <c r="AP82">
        <f>($R$82) * (225)</f>
        <v>0</v>
      </c>
      <c r="AQ82">
        <f>($S$82) * (80)</f>
        <v>0</v>
      </c>
      <c r="AR82">
        <f>($T$82) * (80)</f>
        <v>0</v>
      </c>
      <c r="AS82">
        <f>($U$82) * (225)</f>
        <v>0</v>
      </c>
      <c r="AT82">
        <f>($V$82) * (80)</f>
        <v>0</v>
      </c>
      <c r="AU82">
        <f>($W$82) * (80)</f>
        <v>0</v>
      </c>
      <c r="AV82">
        <f>($X$82) * (225)</f>
        <v>0</v>
      </c>
      <c r="AW82">
        <f>($Y$82) * (80)</f>
        <v>0</v>
      </c>
      <c r="AX82">
        <f>($Z$82) * (295)</f>
        <v>0</v>
      </c>
      <c r="AY82">
        <f>($AA$82) * (150)</f>
        <v>0</v>
      </c>
      <c r="AZ82">
        <f>($AB$82) * (365)</f>
        <v>0</v>
      </c>
      <c r="BA82">
        <f>($AC$82) * (220)</f>
        <v>0</v>
      </c>
      <c r="BB82">
        <f>($AD$82) * (435)</f>
        <v>0</v>
      </c>
      <c r="BC82">
        <f>($AE$82) * (505)</f>
        <v>0</v>
      </c>
      <c r="BO82">
        <v>1</v>
      </c>
      <c r="BP82">
        <f>SUM($X$82:$AE$82)</f>
        <v>0</v>
      </c>
    </row>
    <row r="83" spans="1:68" x14ac:dyDescent="0.25">
      <c r="A83">
        <v>226</v>
      </c>
      <c r="B83">
        <v>2</v>
      </c>
      <c r="C83">
        <v>20260</v>
      </c>
      <c r="D83">
        <v>6</v>
      </c>
      <c r="E83">
        <v>9</v>
      </c>
      <c r="F83" t="s">
        <v>10</v>
      </c>
      <c r="G83">
        <v>5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f>($H$83) * (225)</f>
        <v>0</v>
      </c>
      <c r="AG83">
        <f>($I$83) * (80)</f>
        <v>0</v>
      </c>
      <c r="AH83">
        <f>($J$83) * (80)</f>
        <v>0</v>
      </c>
      <c r="AI83">
        <f>($K$83) * (225)</f>
        <v>0</v>
      </c>
      <c r="AJ83">
        <f>($L$83) * (80)</f>
        <v>0</v>
      </c>
      <c r="AK83">
        <f>($M$83) * (80)</f>
        <v>0</v>
      </c>
      <c r="AL83">
        <f>($N$83) * (225)</f>
        <v>0</v>
      </c>
      <c r="AM83">
        <f>($O$83) * (225)</f>
        <v>0</v>
      </c>
      <c r="AN83">
        <f>($P$83) * (80)</f>
        <v>0</v>
      </c>
      <c r="AO83">
        <f>($Q$83) * (80)</f>
        <v>0</v>
      </c>
      <c r="AP83">
        <f>($R$83) * (225)</f>
        <v>0</v>
      </c>
      <c r="AQ83">
        <f>($S$83) * (80)</f>
        <v>0</v>
      </c>
      <c r="AR83">
        <f>($T$83) * (80)</f>
        <v>0</v>
      </c>
      <c r="AS83">
        <f>($U$83) * (225)</f>
        <v>0</v>
      </c>
      <c r="AT83">
        <f>($V$83) * (80)</f>
        <v>0</v>
      </c>
      <c r="AU83">
        <f>($W$83) * (80)</f>
        <v>0</v>
      </c>
      <c r="AV83">
        <f>($X$83) * (225)</f>
        <v>0</v>
      </c>
      <c r="AW83">
        <f>($Y$83) * (80)</f>
        <v>0</v>
      </c>
      <c r="AX83">
        <f>($Z$83) * (225)</f>
        <v>0</v>
      </c>
      <c r="AY83">
        <f>($AA$83) * (80)</f>
        <v>0</v>
      </c>
      <c r="AZ83">
        <f>($AB$83) * (225)</f>
        <v>0</v>
      </c>
      <c r="BA83">
        <f>($AC$83) * (80)</f>
        <v>0</v>
      </c>
      <c r="BB83">
        <f>($AD$83) * (225)</f>
        <v>0</v>
      </c>
      <c r="BC83">
        <f>($AE$83) * (295)</f>
        <v>0</v>
      </c>
      <c r="BO83">
        <v>1</v>
      </c>
      <c r="BP83">
        <f>SUM($X$83:$AB$83)</f>
        <v>0</v>
      </c>
    </row>
    <row r="84" spans="1:68" x14ac:dyDescent="0.25">
      <c r="A84">
        <v>240</v>
      </c>
      <c r="B84">
        <v>1</v>
      </c>
      <c r="C84">
        <v>20300</v>
      </c>
      <c r="D84">
        <v>0</v>
      </c>
      <c r="E84">
        <v>5</v>
      </c>
      <c r="F84" t="s">
        <v>10</v>
      </c>
      <c r="G84">
        <v>4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f>($H$84) * (225)</f>
        <v>0</v>
      </c>
      <c r="AG84">
        <f>($I$84) * (40)</f>
        <v>0</v>
      </c>
      <c r="AH84">
        <f>($J$84) * (40)</f>
        <v>0</v>
      </c>
      <c r="AI84">
        <f>($K$84) * (225)</f>
        <v>0</v>
      </c>
      <c r="AJ84">
        <f>($L$84) * (40)</f>
        <v>0</v>
      </c>
      <c r="AK84">
        <f>($M$84) * (40)</f>
        <v>0</v>
      </c>
      <c r="AL84">
        <f>($N$84) * (225)</f>
        <v>0</v>
      </c>
      <c r="AM84">
        <f>($O$84) * (275)</f>
        <v>0</v>
      </c>
      <c r="AN84">
        <f>($P$84) * (90)</f>
        <v>0</v>
      </c>
      <c r="AO84">
        <f>($Q$84) * (90)</f>
        <v>0</v>
      </c>
      <c r="AP84">
        <f>($R$84) * (325)</f>
        <v>0</v>
      </c>
      <c r="AQ84">
        <f>($S$84) * (140)</f>
        <v>0</v>
      </c>
      <c r="AR84">
        <f>($T$84) * (140)</f>
        <v>0</v>
      </c>
      <c r="AS84">
        <f>($U$84) * (375)</f>
        <v>0</v>
      </c>
      <c r="AT84">
        <f>($V$84) * (190)</f>
        <v>0</v>
      </c>
      <c r="AU84">
        <f>($W$84) * (190)</f>
        <v>0</v>
      </c>
      <c r="AV84">
        <f>($X$84) * (425)</f>
        <v>0</v>
      </c>
      <c r="AW84">
        <f>($Y$84) * (240)</f>
        <v>0</v>
      </c>
      <c r="AX84">
        <f>($Z$84) * (475)</f>
        <v>0</v>
      </c>
      <c r="AY84">
        <f>($AA$84) * (290)</f>
        <v>0</v>
      </c>
      <c r="AZ84">
        <f>($AB$84) * (525)</f>
        <v>0</v>
      </c>
      <c r="BA84">
        <f>($AC$84) * (340)</f>
        <v>0</v>
      </c>
      <c r="BB84">
        <f>($AD$84) * (575)</f>
        <v>0</v>
      </c>
      <c r="BC84">
        <f>($AE$84) * (625)</f>
        <v>0</v>
      </c>
      <c r="BO84">
        <v>1</v>
      </c>
      <c r="BP84">
        <f>SUM($H$84:$R$84)</f>
        <v>0</v>
      </c>
    </row>
    <row r="85" spans="1:68" x14ac:dyDescent="0.25">
      <c r="A85">
        <v>244</v>
      </c>
      <c r="B85">
        <v>2</v>
      </c>
      <c r="C85">
        <v>23200</v>
      </c>
      <c r="D85">
        <v>2</v>
      </c>
      <c r="E85">
        <v>5</v>
      </c>
      <c r="F85" t="s">
        <v>10</v>
      </c>
      <c r="G85">
        <v>4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f>($H$85) * (225)</f>
        <v>0</v>
      </c>
      <c r="AG85">
        <f>($I$85) * (80)</f>
        <v>0</v>
      </c>
      <c r="AH85">
        <f>($J$85) * (80)</f>
        <v>0</v>
      </c>
      <c r="AI85">
        <f>($K$85) * (225)</f>
        <v>0</v>
      </c>
      <c r="AJ85">
        <f>($L$85) * (80)</f>
        <v>0</v>
      </c>
      <c r="AK85">
        <f>($M$85) * (80)</f>
        <v>0</v>
      </c>
      <c r="AL85">
        <f>($N$85) * (225)</f>
        <v>0</v>
      </c>
      <c r="AM85">
        <f>($O$85) * (225)</f>
        <v>0</v>
      </c>
      <c r="AN85">
        <f>($P$85) * (80)</f>
        <v>0</v>
      </c>
      <c r="AO85">
        <f>($Q$85) * (80)</f>
        <v>0</v>
      </c>
      <c r="AP85">
        <f>($R$85) * (225)</f>
        <v>0</v>
      </c>
      <c r="AQ85">
        <f>($S$85) * (80)</f>
        <v>0</v>
      </c>
      <c r="AR85">
        <f>($T$85) * (80)</f>
        <v>0</v>
      </c>
      <c r="AS85">
        <f>($U$85) * (295)</f>
        <v>0</v>
      </c>
      <c r="AT85">
        <f>($V$85) * (150)</f>
        <v>0</v>
      </c>
      <c r="AU85">
        <f>($W$85) * (150)</f>
        <v>0</v>
      </c>
      <c r="AV85">
        <f>($X$85) * (365)</f>
        <v>0</v>
      </c>
      <c r="AW85">
        <f>($Y$85) * (220)</f>
        <v>0</v>
      </c>
      <c r="AX85">
        <f>($Z$85) * (435)</f>
        <v>0</v>
      </c>
      <c r="AY85">
        <f>($AA$85) * (290)</f>
        <v>0</v>
      </c>
      <c r="AZ85">
        <f>($AB$85) * (505)</f>
        <v>0</v>
      </c>
      <c r="BA85">
        <f>($AC$85) * (360)</f>
        <v>0</v>
      </c>
      <c r="BB85">
        <f>($AD$85) * (575)</f>
        <v>0</v>
      </c>
      <c r="BC85">
        <f>($AE$85) * (645)</f>
        <v>0</v>
      </c>
      <c r="BO85">
        <v>1</v>
      </c>
      <c r="BP85">
        <f>SUM($N$85:$R$85)</f>
        <v>0</v>
      </c>
    </row>
    <row r="86" spans="1:68" x14ac:dyDescent="0.25">
      <c r="A86">
        <v>251</v>
      </c>
      <c r="B86">
        <v>2</v>
      </c>
      <c r="C86">
        <v>22300</v>
      </c>
      <c r="D86">
        <v>0</v>
      </c>
      <c r="E86">
        <v>3</v>
      </c>
      <c r="F86" t="s">
        <v>10</v>
      </c>
      <c r="G86">
        <v>2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f>($H$86) * (225)</f>
        <v>0</v>
      </c>
      <c r="AG86">
        <f>($I$86) * (80)</f>
        <v>0</v>
      </c>
      <c r="AH86">
        <f>($J$86) * (80)</f>
        <v>0</v>
      </c>
      <c r="AI86">
        <f>($K$86) * (295)</f>
        <v>0</v>
      </c>
      <c r="AJ86">
        <f>($L$86) * (150)</f>
        <v>0</v>
      </c>
      <c r="AK86">
        <f>($M$86) * (150)</f>
        <v>0</v>
      </c>
      <c r="AL86">
        <f>($N$86) * (365)</f>
        <v>0</v>
      </c>
      <c r="AM86">
        <f>($O$86) * (435)</f>
        <v>0</v>
      </c>
      <c r="AN86">
        <f>($P$86) * (290)</f>
        <v>0</v>
      </c>
      <c r="AO86">
        <f>($Q$86) * (290)</f>
        <v>0</v>
      </c>
      <c r="AP86">
        <f>($R$86) * (505)</f>
        <v>0</v>
      </c>
      <c r="AQ86">
        <f>($S$86) * (360)</f>
        <v>0</v>
      </c>
      <c r="AR86">
        <f>($T$86) * (360)</f>
        <v>0</v>
      </c>
      <c r="AS86">
        <f>($U$86) * (575)</f>
        <v>0</v>
      </c>
      <c r="AT86">
        <f>($V$86) * (430)</f>
        <v>0</v>
      </c>
      <c r="AU86">
        <f>($W$86) * (430)</f>
        <v>0</v>
      </c>
      <c r="AV86">
        <f>($X$86) * (645)</f>
        <v>0</v>
      </c>
      <c r="AW86">
        <f>($Y$86) * (500)</f>
        <v>0</v>
      </c>
      <c r="AX86">
        <f>($Z$86) * (715)</f>
        <v>0</v>
      </c>
      <c r="AY86">
        <f>($AA$86) * (570)</f>
        <v>0</v>
      </c>
      <c r="AZ86">
        <f>($AB$86) * (785)</f>
        <v>0</v>
      </c>
      <c r="BA86">
        <f>($AC$86) * (640)</f>
        <v>0</v>
      </c>
      <c r="BB86">
        <f>($AD$86) * (855)</f>
        <v>0</v>
      </c>
      <c r="BC86">
        <f>($AE$86) * (925)</f>
        <v>0</v>
      </c>
      <c r="BO86">
        <v>1</v>
      </c>
      <c r="BP86">
        <f>SUM($H$86:$N$86)</f>
        <v>0</v>
      </c>
    </row>
    <row r="87" spans="1:68" x14ac:dyDescent="0.25">
      <c r="A87">
        <v>253</v>
      </c>
      <c r="B87">
        <v>1</v>
      </c>
      <c r="C87">
        <v>20300</v>
      </c>
      <c r="D87">
        <v>2</v>
      </c>
      <c r="E87">
        <v>6</v>
      </c>
      <c r="F87" t="s">
        <v>10</v>
      </c>
      <c r="G87">
        <v>4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f>($H$87) * (225)</f>
        <v>0</v>
      </c>
      <c r="AG87">
        <f>($I$87) * (40)</f>
        <v>0</v>
      </c>
      <c r="AH87">
        <f>($J$87) * (40)</f>
        <v>0</v>
      </c>
      <c r="AI87">
        <f>($K$87) * (225)</f>
        <v>0</v>
      </c>
      <c r="AJ87">
        <f>($L$87) * (40)</f>
        <v>0</v>
      </c>
      <c r="AK87">
        <f>($M$87) * (40)</f>
        <v>0</v>
      </c>
      <c r="AL87">
        <f>($N$87) * (225)</f>
        <v>0</v>
      </c>
      <c r="AM87">
        <f>($O$87) * (225)</f>
        <v>0</v>
      </c>
      <c r="AN87">
        <f>($P$87) * (40)</f>
        <v>0</v>
      </c>
      <c r="AO87">
        <f>($Q$87) * (40)</f>
        <v>0</v>
      </c>
      <c r="AP87">
        <f>($R$87) * (225)</f>
        <v>0</v>
      </c>
      <c r="AQ87">
        <f>($S$87) * (40)</f>
        <v>0</v>
      </c>
      <c r="AR87">
        <f>($T$87) * (40)</f>
        <v>0</v>
      </c>
      <c r="AS87">
        <f>($U$87) * (275)</f>
        <v>0</v>
      </c>
      <c r="AT87">
        <f>($V$87) * (90)</f>
        <v>0</v>
      </c>
      <c r="AU87">
        <f>($W$87) * (90)</f>
        <v>0</v>
      </c>
      <c r="AV87">
        <f>($X$87) * (325)</f>
        <v>0</v>
      </c>
      <c r="AW87">
        <f>($Y$87) * (140)</f>
        <v>0</v>
      </c>
      <c r="AX87">
        <f>($Z$87) * (375)</f>
        <v>0</v>
      </c>
      <c r="AY87">
        <f>($AA$87) * (190)</f>
        <v>0</v>
      </c>
      <c r="AZ87">
        <f>($AB$87) * (425)</f>
        <v>0</v>
      </c>
      <c r="BA87">
        <f>($AC$87) * (240)</f>
        <v>0</v>
      </c>
      <c r="BB87">
        <f>($AD$87) * (475)</f>
        <v>0</v>
      </c>
      <c r="BC87">
        <f>($AE$87) * (525)</f>
        <v>0</v>
      </c>
      <c r="BO87">
        <v>1</v>
      </c>
      <c r="BP87">
        <f>SUM($N$87:$U$87)</f>
        <v>0</v>
      </c>
    </row>
    <row r="88" spans="1:68" x14ac:dyDescent="0.25">
      <c r="A88">
        <v>257</v>
      </c>
      <c r="B88">
        <v>1</v>
      </c>
      <c r="C88">
        <v>3980</v>
      </c>
      <c r="D88">
        <v>3</v>
      </c>
      <c r="E88">
        <v>7</v>
      </c>
      <c r="F88" t="s">
        <v>10</v>
      </c>
      <c r="G88">
        <v>3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f>($H$88) * (225)</f>
        <v>0</v>
      </c>
      <c r="AG88">
        <f>($I$88) * (40)</f>
        <v>0</v>
      </c>
      <c r="AH88">
        <f>($J$88) * (40)</f>
        <v>0</v>
      </c>
      <c r="AI88">
        <f>($K$88) * (225)</f>
        <v>0</v>
      </c>
      <c r="AJ88">
        <f>($L$88) * (40)</f>
        <v>0</v>
      </c>
      <c r="AK88">
        <f>($M$88) * (40)</f>
        <v>0</v>
      </c>
      <c r="AL88">
        <f>($N$88) * (225)</f>
        <v>0</v>
      </c>
      <c r="AM88">
        <f>($O$88) * (225)</f>
        <v>0</v>
      </c>
      <c r="AN88">
        <f>($P$88) * (40)</f>
        <v>0</v>
      </c>
      <c r="AO88">
        <f>($Q$88) * (40)</f>
        <v>0</v>
      </c>
      <c r="AP88">
        <f>($R$88) * (225)</f>
        <v>0</v>
      </c>
      <c r="AQ88">
        <f>($S$88) * (40)</f>
        <v>0</v>
      </c>
      <c r="AR88">
        <f>($T$88) * (40)</f>
        <v>0</v>
      </c>
      <c r="AS88">
        <f>($U$88) * (275)</f>
        <v>0</v>
      </c>
      <c r="AT88">
        <f>($V$88) * (90)</f>
        <v>0</v>
      </c>
      <c r="AU88">
        <f>($W$88) * (90)</f>
        <v>0</v>
      </c>
      <c r="AV88">
        <f>($X$88) * (325)</f>
        <v>0</v>
      </c>
      <c r="AW88">
        <f>($Y$88) * (140)</f>
        <v>0</v>
      </c>
      <c r="AX88">
        <f>($Z$88) * (375)</f>
        <v>0</v>
      </c>
      <c r="AY88">
        <f>($AA$88) * (190)</f>
        <v>0</v>
      </c>
      <c r="AZ88">
        <f>($AB$88) * (425)</f>
        <v>0</v>
      </c>
      <c r="BA88">
        <f>($AC$88) * (240)</f>
        <v>0</v>
      </c>
      <c r="BB88">
        <f>($AD$88) * (475)</f>
        <v>0</v>
      </c>
      <c r="BC88">
        <f>($AE$88) * (525)</f>
        <v>0</v>
      </c>
      <c r="BO88">
        <v>1</v>
      </c>
      <c r="BP88">
        <f>SUM($O$88:$X$88)</f>
        <v>0</v>
      </c>
    </row>
    <row r="89" spans="1:68" x14ac:dyDescent="0.25">
      <c r="A89">
        <v>260</v>
      </c>
      <c r="B89">
        <v>1</v>
      </c>
      <c r="C89">
        <v>22200</v>
      </c>
      <c r="D89">
        <v>0</v>
      </c>
      <c r="E89">
        <v>5</v>
      </c>
      <c r="F89" t="s">
        <v>10</v>
      </c>
      <c r="G89">
        <v>4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f>($H$89) * (225)</f>
        <v>0</v>
      </c>
      <c r="AG89">
        <f>($I$89) * (40)</f>
        <v>0</v>
      </c>
      <c r="AH89">
        <f>($J$89) * (40)</f>
        <v>0</v>
      </c>
      <c r="AI89">
        <f>($K$89) * (225)</f>
        <v>0</v>
      </c>
      <c r="AJ89">
        <f>($L$89) * (40)</f>
        <v>0</v>
      </c>
      <c r="AK89">
        <f>($M$89) * (40)</f>
        <v>0</v>
      </c>
      <c r="AL89">
        <f>($N$89) * (225)</f>
        <v>0</v>
      </c>
      <c r="AM89">
        <f>($O$89) * (275)</f>
        <v>0</v>
      </c>
      <c r="AN89">
        <f>($P$89) * (90)</f>
        <v>0</v>
      </c>
      <c r="AO89">
        <f>($Q$89) * (90)</f>
        <v>0</v>
      </c>
      <c r="AP89">
        <f>($R$89) * (325)</f>
        <v>0</v>
      </c>
      <c r="AQ89">
        <f>($S$89) * (140)</f>
        <v>0</v>
      </c>
      <c r="AR89">
        <f>($T$89) * (140)</f>
        <v>0</v>
      </c>
      <c r="AS89">
        <f>($U$89) * (375)</f>
        <v>0</v>
      </c>
      <c r="AT89">
        <f>($V$89) * (190)</f>
        <v>0</v>
      </c>
      <c r="AU89">
        <f>($W$89) * (190)</f>
        <v>0</v>
      </c>
      <c r="AV89">
        <f>($X$89) * (425)</f>
        <v>0</v>
      </c>
      <c r="AW89">
        <f>($Y$89) * (240)</f>
        <v>0</v>
      </c>
      <c r="AX89">
        <f>($Z$89) * (475)</f>
        <v>0</v>
      </c>
      <c r="AY89">
        <f>($AA$89) * (290)</f>
        <v>0</v>
      </c>
      <c r="AZ89">
        <f>($AB$89) * (525)</f>
        <v>0</v>
      </c>
      <c r="BA89">
        <f>($AC$89) * (340)</f>
        <v>0</v>
      </c>
      <c r="BB89">
        <f>($AD$89) * (575)</f>
        <v>0</v>
      </c>
      <c r="BC89">
        <f>($AE$89) * (625)</f>
        <v>0</v>
      </c>
      <c r="BO89">
        <v>1</v>
      </c>
      <c r="BP89">
        <f>SUM($H$89:$R$89)</f>
        <v>0</v>
      </c>
    </row>
    <row r="90" spans="1:68" x14ac:dyDescent="0.25">
      <c r="A90">
        <v>263</v>
      </c>
      <c r="B90">
        <v>2</v>
      </c>
      <c r="C90">
        <v>24200</v>
      </c>
      <c r="D90">
        <v>3</v>
      </c>
      <c r="E90">
        <v>8</v>
      </c>
      <c r="F90" t="s">
        <v>10</v>
      </c>
      <c r="G90">
        <v>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f>($H$90) * (225)</f>
        <v>0</v>
      </c>
      <c r="AG90">
        <f>($I$90) * (80)</f>
        <v>0</v>
      </c>
      <c r="AH90">
        <f>($J$90) * (80)</f>
        <v>0</v>
      </c>
      <c r="AI90">
        <f>($K$90) * (225)</f>
        <v>0</v>
      </c>
      <c r="AJ90">
        <f>($L$90) * (80)</f>
        <v>0</v>
      </c>
      <c r="AK90">
        <f>($M$90) * (80)</f>
        <v>0</v>
      </c>
      <c r="AL90">
        <f>($N$90) * (225)</f>
        <v>0</v>
      </c>
      <c r="AM90">
        <f>($O$90) * (225)</f>
        <v>0</v>
      </c>
      <c r="AN90">
        <f>($P$90) * (80)</f>
        <v>0</v>
      </c>
      <c r="AO90">
        <f>($Q$90) * (80)</f>
        <v>0</v>
      </c>
      <c r="AP90">
        <f>($R$90) * (225)</f>
        <v>0</v>
      </c>
      <c r="AQ90">
        <f>($S$90) * (80)</f>
        <v>0</v>
      </c>
      <c r="AR90">
        <f>($T$90) * (80)</f>
        <v>0</v>
      </c>
      <c r="AS90">
        <f>($U$90) * (295)</f>
        <v>0</v>
      </c>
      <c r="AT90">
        <f>($V$90) * (150)</f>
        <v>0</v>
      </c>
      <c r="AU90">
        <f>($W$90) * (150)</f>
        <v>0</v>
      </c>
      <c r="AV90">
        <f>($X$90) * (365)</f>
        <v>0</v>
      </c>
      <c r="AW90">
        <f>($Y$90) * (220)</f>
        <v>0</v>
      </c>
      <c r="AX90">
        <f>($Z$90) * (435)</f>
        <v>0</v>
      </c>
      <c r="AY90">
        <f>($AA$90) * (290)</f>
        <v>0</v>
      </c>
      <c r="AZ90">
        <f>($AB$90) * (505)</f>
        <v>0</v>
      </c>
      <c r="BA90">
        <f>($AC$90) * (360)</f>
        <v>0</v>
      </c>
      <c r="BB90">
        <f>($AD$90) * (575)</f>
        <v>0</v>
      </c>
      <c r="BC90">
        <f>($AE$90) * (645)</f>
        <v>0</v>
      </c>
      <c r="BO90">
        <v>1</v>
      </c>
      <c r="BP90">
        <f>SUM($O$90:$Z$90)</f>
        <v>0</v>
      </c>
    </row>
    <row r="91" spans="1:68" x14ac:dyDescent="0.25">
      <c r="A91">
        <v>265</v>
      </c>
      <c r="B91">
        <v>2</v>
      </c>
      <c r="C91">
        <v>17431</v>
      </c>
      <c r="D91">
        <v>0</v>
      </c>
      <c r="E91">
        <v>4</v>
      </c>
      <c r="F91" t="s">
        <v>10</v>
      </c>
      <c r="G91">
        <v>3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f>($H$91) * (225)</f>
        <v>0</v>
      </c>
      <c r="AG91">
        <f>($I$91) * (80)</f>
        <v>0</v>
      </c>
      <c r="AH91">
        <f>($J$91) * (80)</f>
        <v>0</v>
      </c>
      <c r="AI91">
        <f>($K$91) * (225)</f>
        <v>0</v>
      </c>
      <c r="AJ91">
        <f>($L$91) * (80)</f>
        <v>0</v>
      </c>
      <c r="AK91">
        <f>($M$91) * (80)</f>
        <v>0</v>
      </c>
      <c r="AL91">
        <f>($N$91) * (295)</f>
        <v>0</v>
      </c>
      <c r="AM91">
        <f>($O$91) * (365)</f>
        <v>0</v>
      </c>
      <c r="AN91">
        <f>($P$91) * (220)</f>
        <v>0</v>
      </c>
      <c r="AO91">
        <f>($Q$91) * (220)</f>
        <v>0</v>
      </c>
      <c r="AP91">
        <f>($R$91) * (435)</f>
        <v>0</v>
      </c>
      <c r="AQ91">
        <f>($S$91) * (290)</f>
        <v>0</v>
      </c>
      <c r="AR91">
        <f>($T$91) * (290)</f>
        <v>0</v>
      </c>
      <c r="AS91">
        <f>($U$91) * (505)</f>
        <v>0</v>
      </c>
      <c r="AT91">
        <f>($V$91) * (360)</f>
        <v>0</v>
      </c>
      <c r="AU91">
        <f>($W$91) * (360)</f>
        <v>0</v>
      </c>
      <c r="AV91">
        <f>($X$91) * (575)</f>
        <v>0</v>
      </c>
      <c r="AW91">
        <f>($Y$91) * (430)</f>
        <v>0</v>
      </c>
      <c r="AX91">
        <f>($Z$91) * (645)</f>
        <v>0</v>
      </c>
      <c r="AY91">
        <f>($AA$91) * (500)</f>
        <v>0</v>
      </c>
      <c r="AZ91">
        <f>($AB$91) * (715)</f>
        <v>0</v>
      </c>
      <c r="BA91">
        <f>($AC$91) * (570)</f>
        <v>0</v>
      </c>
      <c r="BB91">
        <f>($AD$91) * (785)</f>
        <v>0</v>
      </c>
      <c r="BC91">
        <f>($AE$91) * (855)</f>
        <v>0</v>
      </c>
      <c r="BO91">
        <v>1</v>
      </c>
      <c r="BP91">
        <f>SUM($H$91:$O$91)</f>
        <v>0</v>
      </c>
    </row>
    <row r="92" spans="1:68" x14ac:dyDescent="0.25">
      <c r="A92">
        <v>268</v>
      </c>
      <c r="B92">
        <v>2</v>
      </c>
      <c r="C92">
        <v>4200</v>
      </c>
      <c r="D92">
        <v>1</v>
      </c>
      <c r="E92">
        <v>5</v>
      </c>
      <c r="F92" t="s">
        <v>10</v>
      </c>
      <c r="G92">
        <v>3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f>($H$92) * (225)</f>
        <v>0</v>
      </c>
      <c r="AG92">
        <f>($I$92) * (80)</f>
        <v>0</v>
      </c>
      <c r="AH92">
        <f>($J$92) * (80)</f>
        <v>0</v>
      </c>
      <c r="AI92">
        <f>($K$92) * (225)</f>
        <v>0</v>
      </c>
      <c r="AJ92">
        <f>($L$92) * (80)</f>
        <v>0</v>
      </c>
      <c r="AK92">
        <f>($M$92) * (80)</f>
        <v>0</v>
      </c>
      <c r="AL92">
        <f>($N$92) * (225)</f>
        <v>0</v>
      </c>
      <c r="AM92">
        <f>($O$92) * (295)</f>
        <v>0</v>
      </c>
      <c r="AN92">
        <f>($P$92) * (150)</f>
        <v>0</v>
      </c>
      <c r="AO92">
        <f>($Q$92) * (150)</f>
        <v>0</v>
      </c>
      <c r="AP92">
        <f>($R$92) * (365)</f>
        <v>0</v>
      </c>
      <c r="AQ92">
        <f>($S$92) * (220)</f>
        <v>0</v>
      </c>
      <c r="AR92">
        <f>($T$92) * (220)</f>
        <v>0</v>
      </c>
      <c r="AS92">
        <f>($U$92) * (435)</f>
        <v>0</v>
      </c>
      <c r="AT92">
        <f>($V$92) * (290)</f>
        <v>0</v>
      </c>
      <c r="AU92">
        <f>($W$92) * (290)</f>
        <v>0</v>
      </c>
      <c r="AV92">
        <f>($X$92) * (505)</f>
        <v>0</v>
      </c>
      <c r="AW92">
        <f>($Y$92) * (360)</f>
        <v>0</v>
      </c>
      <c r="AX92">
        <f>($Z$92) * (575)</f>
        <v>0</v>
      </c>
      <c r="AY92">
        <f>($AA$92) * (430)</f>
        <v>0</v>
      </c>
      <c r="AZ92">
        <f>($AB$92) * (645)</f>
        <v>0</v>
      </c>
      <c r="BA92">
        <f>($AC$92) * (500)</f>
        <v>0</v>
      </c>
      <c r="BB92">
        <f>($AD$92) * (715)</f>
        <v>0</v>
      </c>
      <c r="BC92">
        <f>($AE$92) * (785)</f>
        <v>0</v>
      </c>
      <c r="BO92">
        <v>1</v>
      </c>
      <c r="BP92">
        <f>SUM($K$92:$R$92)</f>
        <v>0</v>
      </c>
    </row>
    <row r="93" spans="1:68" x14ac:dyDescent="0.25">
      <c r="A93">
        <v>269</v>
      </c>
      <c r="B93">
        <v>2</v>
      </c>
      <c r="C93">
        <v>24200</v>
      </c>
      <c r="D93">
        <v>2</v>
      </c>
      <c r="E93">
        <v>7</v>
      </c>
      <c r="F93" t="s">
        <v>10</v>
      </c>
      <c r="G93">
        <v>4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f>($H$93) * (225)</f>
        <v>0</v>
      </c>
      <c r="AG93">
        <f>($I$93) * (80)</f>
        <v>0</v>
      </c>
      <c r="AH93">
        <f>($J$93) * (80)</f>
        <v>0</v>
      </c>
      <c r="AI93">
        <f>($K$93) * (225)</f>
        <v>0</v>
      </c>
      <c r="AJ93">
        <f>($L$93) * (80)</f>
        <v>0</v>
      </c>
      <c r="AK93">
        <f>($M$93) * (80)</f>
        <v>0</v>
      </c>
      <c r="AL93">
        <f>($N$93) * (225)</f>
        <v>0</v>
      </c>
      <c r="AM93">
        <f>($O$93) * (225)</f>
        <v>0</v>
      </c>
      <c r="AN93">
        <f>($P$93) * (80)</f>
        <v>0</v>
      </c>
      <c r="AO93">
        <f>($Q$93) * (80)</f>
        <v>0</v>
      </c>
      <c r="AP93">
        <f>($R$93) * (225)</f>
        <v>0</v>
      </c>
      <c r="AQ93">
        <f>($S$93) * (80)</f>
        <v>0</v>
      </c>
      <c r="AR93">
        <f>($T$93) * (80)</f>
        <v>0</v>
      </c>
      <c r="AS93">
        <f>($U$93) * (295)</f>
        <v>0</v>
      </c>
      <c r="AT93">
        <f>($V$93) * (150)</f>
        <v>0</v>
      </c>
      <c r="AU93">
        <f>($W$93) * (150)</f>
        <v>0</v>
      </c>
      <c r="AV93">
        <f>($X$93) * (365)</f>
        <v>0</v>
      </c>
      <c r="AW93">
        <f>($Y$93) * (220)</f>
        <v>0</v>
      </c>
      <c r="AX93">
        <f>($Z$93) * (435)</f>
        <v>0</v>
      </c>
      <c r="AY93">
        <f>($AA$93) * (290)</f>
        <v>0</v>
      </c>
      <c r="AZ93">
        <f>($AB$93) * (505)</f>
        <v>0</v>
      </c>
      <c r="BA93">
        <f>($AC$93) * (360)</f>
        <v>0</v>
      </c>
      <c r="BB93">
        <f>($AD$93) * (575)</f>
        <v>0</v>
      </c>
      <c r="BC93">
        <f>($AE$93) * (645)</f>
        <v>0</v>
      </c>
      <c r="BO93">
        <v>1</v>
      </c>
      <c r="BP93">
        <f>SUM($N$93:$X$93)</f>
        <v>0</v>
      </c>
    </row>
    <row r="94" spans="1:68" x14ac:dyDescent="0.25">
      <c r="A94">
        <v>273</v>
      </c>
      <c r="B94">
        <v>2</v>
      </c>
      <c r="C94">
        <v>17232</v>
      </c>
      <c r="D94">
        <v>-1</v>
      </c>
      <c r="E94">
        <v>4</v>
      </c>
      <c r="F94" t="s">
        <v>10</v>
      </c>
      <c r="G94">
        <v>4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f>($H$94) * (225)</f>
        <v>0</v>
      </c>
      <c r="AG94">
        <f>($I$94) * (80)</f>
        <v>0</v>
      </c>
      <c r="AH94">
        <f>($J$94) * (80)</f>
        <v>0</v>
      </c>
      <c r="AI94">
        <f>($K$94) * (225)</f>
        <v>0</v>
      </c>
      <c r="AJ94">
        <f>($L$94) * (80)</f>
        <v>0</v>
      </c>
      <c r="AK94">
        <f>($M$94) * (80)</f>
        <v>0</v>
      </c>
      <c r="AL94">
        <f>($N$94) * (295)</f>
        <v>0</v>
      </c>
      <c r="AM94">
        <f>($O$94) * (365)</f>
        <v>0</v>
      </c>
      <c r="AN94">
        <f>($P$94) * (220)</f>
        <v>0</v>
      </c>
      <c r="AO94">
        <f>($Q$94) * (220)</f>
        <v>0</v>
      </c>
      <c r="AP94">
        <f>($R$94) * (435)</f>
        <v>0</v>
      </c>
      <c r="AQ94">
        <f>($S$94) * (290)</f>
        <v>0</v>
      </c>
      <c r="AR94">
        <f>($T$94) * (290)</f>
        <v>0</v>
      </c>
      <c r="AS94">
        <f>($U$94) * (505)</f>
        <v>0</v>
      </c>
      <c r="AT94">
        <f>($V$94) * (360)</f>
        <v>0</v>
      </c>
      <c r="AU94">
        <f>($W$94) * (360)</f>
        <v>0</v>
      </c>
      <c r="AV94">
        <f>($X$94) * (575)</f>
        <v>0</v>
      </c>
      <c r="AW94">
        <f>($Y$94) * (430)</f>
        <v>0</v>
      </c>
      <c r="AX94">
        <f>($Z$94) * (645)</f>
        <v>0</v>
      </c>
      <c r="AY94">
        <f>($AA$94) * (500)</f>
        <v>0</v>
      </c>
      <c r="AZ94">
        <f>($AB$94) * (715)</f>
        <v>0</v>
      </c>
      <c r="BA94">
        <f>($AC$94) * (570)</f>
        <v>0</v>
      </c>
      <c r="BB94">
        <f>($AD$94) * (785)</f>
        <v>0</v>
      </c>
      <c r="BC94">
        <f>($AE$94) * (855)</f>
        <v>0</v>
      </c>
      <c r="BO94">
        <v>1</v>
      </c>
      <c r="BP94">
        <f>SUM($H$94:$O$94)</f>
        <v>0</v>
      </c>
    </row>
    <row r="95" spans="1:68" x14ac:dyDescent="0.25">
      <c r="A95">
        <v>274</v>
      </c>
      <c r="B95">
        <v>2</v>
      </c>
      <c r="C95">
        <v>14200</v>
      </c>
      <c r="D95">
        <v>1</v>
      </c>
      <c r="E95">
        <v>6</v>
      </c>
      <c r="F95" t="s">
        <v>10</v>
      </c>
      <c r="G95">
        <v>4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f>($H$95) * (225)</f>
        <v>0</v>
      </c>
      <c r="AG95">
        <f>($I$95) * (80)</f>
        <v>0</v>
      </c>
      <c r="AH95">
        <f>($J$95) * (80)</f>
        <v>0</v>
      </c>
      <c r="AI95">
        <f>($K$95) * (225)</f>
        <v>0</v>
      </c>
      <c r="AJ95">
        <f>($L$95) * (80)</f>
        <v>0</v>
      </c>
      <c r="AK95">
        <f>($M$95) * (80)</f>
        <v>0</v>
      </c>
      <c r="AL95">
        <f>($N$95) * (225)</f>
        <v>0</v>
      </c>
      <c r="AM95">
        <f>($O$95) * (225)</f>
        <v>0</v>
      </c>
      <c r="AN95">
        <f>($P$95) * (80)</f>
        <v>0</v>
      </c>
      <c r="AO95">
        <f>($Q$95) * (80)</f>
        <v>0</v>
      </c>
      <c r="AP95">
        <f>($R$95) * (295)</f>
        <v>0</v>
      </c>
      <c r="AQ95">
        <f>($S$95) * (150)</f>
        <v>0</v>
      </c>
      <c r="AR95">
        <f>($T$95) * (150)</f>
        <v>0</v>
      </c>
      <c r="AS95">
        <f>($U$95) * (365)</f>
        <v>0</v>
      </c>
      <c r="AT95">
        <f>($V$95) * (220)</f>
        <v>0</v>
      </c>
      <c r="AU95">
        <f>($W$95) * (220)</f>
        <v>0</v>
      </c>
      <c r="AV95">
        <f>($X$95) * (435)</f>
        <v>0</v>
      </c>
      <c r="AW95">
        <f>($Y$95) * (290)</f>
        <v>0</v>
      </c>
      <c r="AX95">
        <f>($Z$95) * (505)</f>
        <v>0</v>
      </c>
      <c r="AY95">
        <f>($AA$95) * (360)</f>
        <v>0</v>
      </c>
      <c r="AZ95">
        <f>($AB$95) * (575)</f>
        <v>0</v>
      </c>
      <c r="BA95">
        <f>($AC$95) * (430)</f>
        <v>0</v>
      </c>
      <c r="BB95">
        <f>($AD$95) * (645)</f>
        <v>0</v>
      </c>
      <c r="BC95">
        <f>($AE$95) * (715)</f>
        <v>0</v>
      </c>
      <c r="BO95">
        <v>1</v>
      </c>
      <c r="BP95">
        <f>SUM($K$95:$U$95)</f>
        <v>0</v>
      </c>
    </row>
    <row r="96" spans="1:68" x14ac:dyDescent="0.25">
      <c r="A96">
        <v>275</v>
      </c>
      <c r="B96">
        <v>2</v>
      </c>
      <c r="C96">
        <v>14603</v>
      </c>
      <c r="D96">
        <v>5</v>
      </c>
      <c r="E96">
        <v>9</v>
      </c>
      <c r="F96" t="s">
        <v>10</v>
      </c>
      <c r="G96">
        <v>3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f>($H$96) * (225)</f>
        <v>0</v>
      </c>
      <c r="AG96">
        <f>($I$96) * (80)</f>
        <v>0</v>
      </c>
      <c r="AH96">
        <f>($J$96) * (80)</f>
        <v>0</v>
      </c>
      <c r="AI96">
        <f>($K$96) * (225)</f>
        <v>0</v>
      </c>
      <c r="AJ96">
        <f>($L$96) * (80)</f>
        <v>0</v>
      </c>
      <c r="AK96">
        <f>($M$96) * (80)</f>
        <v>0</v>
      </c>
      <c r="AL96">
        <f>($N$96) * (225)</f>
        <v>0</v>
      </c>
      <c r="AM96">
        <f>($O$96) * (225)</f>
        <v>0</v>
      </c>
      <c r="AN96">
        <f>($P$96) * (80)</f>
        <v>0</v>
      </c>
      <c r="AO96">
        <f>($Q$96) * (80)</f>
        <v>0</v>
      </c>
      <c r="AP96">
        <f>($R$96) * (225)</f>
        <v>0</v>
      </c>
      <c r="AQ96">
        <f>($S$96) * (80)</f>
        <v>0</v>
      </c>
      <c r="AR96">
        <f>($T$96) * (80)</f>
        <v>0</v>
      </c>
      <c r="AS96">
        <f>($U$96) * (225)</f>
        <v>0</v>
      </c>
      <c r="AT96">
        <f>($V$96) * (80)</f>
        <v>0</v>
      </c>
      <c r="AU96">
        <f>($W$96) * (80)</f>
        <v>0</v>
      </c>
      <c r="AV96">
        <f>($X$96) * (225)</f>
        <v>0</v>
      </c>
      <c r="AW96">
        <f>($Y$96) * (80)</f>
        <v>0</v>
      </c>
      <c r="AX96">
        <f>($Z$96) * (295)</f>
        <v>0</v>
      </c>
      <c r="AY96">
        <f>($AA$96) * (150)</f>
        <v>0</v>
      </c>
      <c r="AZ96">
        <f>($AB$96) * (365)</f>
        <v>0</v>
      </c>
      <c r="BA96">
        <f>($AC$96) * (220)</f>
        <v>0</v>
      </c>
      <c r="BB96">
        <f>($AD$96) * (435)</f>
        <v>0</v>
      </c>
      <c r="BC96">
        <f>($AE$96) * (505)</f>
        <v>0</v>
      </c>
      <c r="BO96">
        <v>1</v>
      </c>
      <c r="BP96">
        <f>SUM($U$96:$AB$96)</f>
        <v>0</v>
      </c>
    </row>
    <row r="97" spans="1:68" x14ac:dyDescent="0.25">
      <c r="A97">
        <v>278</v>
      </c>
      <c r="B97">
        <v>2</v>
      </c>
      <c r="C97">
        <v>13136</v>
      </c>
      <c r="D97">
        <v>4</v>
      </c>
      <c r="E97">
        <v>9</v>
      </c>
      <c r="F97" t="s">
        <v>10</v>
      </c>
      <c r="G97">
        <v>4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f>($H$97) * (225)</f>
        <v>0</v>
      </c>
      <c r="AG97">
        <f>($I$97) * (80)</f>
        <v>0</v>
      </c>
      <c r="AH97">
        <f>($J$97) * (80)</f>
        <v>0</v>
      </c>
      <c r="AI97">
        <f>($K$97) * (225)</f>
        <v>0</v>
      </c>
      <c r="AJ97">
        <f>($L$97) * (80)</f>
        <v>0</v>
      </c>
      <c r="AK97">
        <f>($M$97) * (80)</f>
        <v>0</v>
      </c>
      <c r="AL97">
        <f>($N$97) * (225)</f>
        <v>0</v>
      </c>
      <c r="AM97">
        <f>($O$97) * (225)</f>
        <v>0</v>
      </c>
      <c r="AN97">
        <f>($P$97) * (80)</f>
        <v>0</v>
      </c>
      <c r="AO97">
        <f>($Q$97) * (80)</f>
        <v>0</v>
      </c>
      <c r="AP97">
        <f>($R$97) * (225)</f>
        <v>0</v>
      </c>
      <c r="AQ97">
        <f>($S$97) * (80)</f>
        <v>0</v>
      </c>
      <c r="AR97">
        <f>($T$97) * (80)</f>
        <v>0</v>
      </c>
      <c r="AS97">
        <f>($U$97) * (225)</f>
        <v>0</v>
      </c>
      <c r="AT97">
        <f>($V$97) * (80)</f>
        <v>0</v>
      </c>
      <c r="AU97">
        <f>($W$97) * (80)</f>
        <v>0</v>
      </c>
      <c r="AV97">
        <f>($X$97) * (225)</f>
        <v>0</v>
      </c>
      <c r="AW97">
        <f>($Y$97) * (80)</f>
        <v>0</v>
      </c>
      <c r="AX97">
        <f>($Z$97) * (295)</f>
        <v>0</v>
      </c>
      <c r="AY97">
        <f>($AA$97) * (150)</f>
        <v>0</v>
      </c>
      <c r="AZ97">
        <f>($AB$97) * (365)</f>
        <v>0</v>
      </c>
      <c r="BA97">
        <f>($AC$97) * (220)</f>
        <v>0</v>
      </c>
      <c r="BB97">
        <f>($AD$97) * (435)</f>
        <v>0</v>
      </c>
      <c r="BC97">
        <f>($AE$97) * (505)</f>
        <v>0</v>
      </c>
      <c r="BO97">
        <v>1</v>
      </c>
      <c r="BP97">
        <f>SUM($R$97:$AB$97)</f>
        <v>0</v>
      </c>
    </row>
    <row r="98" spans="1:68" x14ac:dyDescent="0.25">
      <c r="A98">
        <v>280</v>
      </c>
      <c r="B98">
        <v>2</v>
      </c>
      <c r="C98">
        <v>9973</v>
      </c>
      <c r="D98">
        <v>2</v>
      </c>
      <c r="E98">
        <v>5</v>
      </c>
      <c r="F98" t="s">
        <v>10</v>
      </c>
      <c r="G98">
        <v>4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f>($H$98) * (225)</f>
        <v>0</v>
      </c>
      <c r="AG98">
        <f>($I$98) * (80)</f>
        <v>0</v>
      </c>
      <c r="AH98">
        <f>($J$98) * (80)</f>
        <v>0</v>
      </c>
      <c r="AI98">
        <f>($K$98) * (225)</f>
        <v>0</v>
      </c>
      <c r="AJ98">
        <f>($L$98) * (80)</f>
        <v>0</v>
      </c>
      <c r="AK98">
        <f>($M$98) * (80)</f>
        <v>0</v>
      </c>
      <c r="AL98">
        <f>($N$98) * (225)</f>
        <v>0</v>
      </c>
      <c r="AM98">
        <f>($O$98) * (225)</f>
        <v>0</v>
      </c>
      <c r="AN98">
        <f>($P$98) * (80)</f>
        <v>0</v>
      </c>
      <c r="AO98">
        <f>($Q$98) * (80)</f>
        <v>0</v>
      </c>
      <c r="AP98">
        <f>($R$98) * (225)</f>
        <v>0</v>
      </c>
      <c r="AQ98">
        <f>($S$98) * (80)</f>
        <v>0</v>
      </c>
      <c r="AR98">
        <f>($T$98) * (80)</f>
        <v>0</v>
      </c>
      <c r="AS98">
        <f>($U$98) * (295)</f>
        <v>0</v>
      </c>
      <c r="AT98">
        <f>($V$98) * (150)</f>
        <v>0</v>
      </c>
      <c r="AU98">
        <f>($W$98) * (150)</f>
        <v>0</v>
      </c>
      <c r="AV98">
        <f>($X$98) * (365)</f>
        <v>0</v>
      </c>
      <c r="AW98">
        <f>($Y$98) * (220)</f>
        <v>0</v>
      </c>
      <c r="AX98">
        <f>($Z$98) * (435)</f>
        <v>0</v>
      </c>
      <c r="AY98">
        <f>($AA$98) * (290)</f>
        <v>0</v>
      </c>
      <c r="AZ98">
        <f>($AB$98) * (505)</f>
        <v>0</v>
      </c>
      <c r="BA98">
        <f>($AC$98) * (360)</f>
        <v>0</v>
      </c>
      <c r="BB98">
        <f>($AD$98) * (575)</f>
        <v>0</v>
      </c>
      <c r="BC98">
        <f>($AE$98) * (645)</f>
        <v>0</v>
      </c>
      <c r="BO98">
        <v>1</v>
      </c>
      <c r="BP98">
        <f>SUM($N$98:$R$98)</f>
        <v>0</v>
      </c>
    </row>
    <row r="99" spans="1:68" x14ac:dyDescent="0.25">
      <c r="A99">
        <v>281</v>
      </c>
      <c r="B99">
        <v>2</v>
      </c>
      <c r="C99">
        <v>14200</v>
      </c>
      <c r="D99">
        <v>1</v>
      </c>
      <c r="E99">
        <v>4</v>
      </c>
      <c r="F99" t="s">
        <v>10</v>
      </c>
      <c r="G99">
        <v>4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f>($H$99) * (225)</f>
        <v>0</v>
      </c>
      <c r="AG99">
        <f>($I$99) * (80)</f>
        <v>0</v>
      </c>
      <c r="AH99">
        <f>($J$99) * (80)</f>
        <v>0</v>
      </c>
      <c r="AI99">
        <f>($K$99) * (225)</f>
        <v>0</v>
      </c>
      <c r="AJ99">
        <f>($L$99) * (80)</f>
        <v>0</v>
      </c>
      <c r="AK99">
        <f>($M$99) * (80)</f>
        <v>0</v>
      </c>
      <c r="AL99">
        <f>($N$99) * (225)</f>
        <v>0</v>
      </c>
      <c r="AM99">
        <f>($O$99) * (225)</f>
        <v>0</v>
      </c>
      <c r="AN99">
        <f>($P$99) * (80)</f>
        <v>0</v>
      </c>
      <c r="AO99">
        <f>($Q$99) * (80)</f>
        <v>0</v>
      </c>
      <c r="AP99">
        <f>($R$99) * (295)</f>
        <v>0</v>
      </c>
      <c r="AQ99">
        <f>($S$99) * (150)</f>
        <v>0</v>
      </c>
      <c r="AR99">
        <f>($T$99) * (150)</f>
        <v>0</v>
      </c>
      <c r="AS99">
        <f>($U$99) * (365)</f>
        <v>0</v>
      </c>
      <c r="AT99">
        <f>($V$99) * (220)</f>
        <v>0</v>
      </c>
      <c r="AU99">
        <f>($W$99) * (220)</f>
        <v>0</v>
      </c>
      <c r="AV99">
        <f>($X$99) * (435)</f>
        <v>0</v>
      </c>
      <c r="AW99">
        <f>($Y$99) * (290)</f>
        <v>0</v>
      </c>
      <c r="AX99">
        <f>($Z$99) * (505)</f>
        <v>0</v>
      </c>
      <c r="AY99">
        <f>($AA$99) * (360)</f>
        <v>0</v>
      </c>
      <c r="AZ99">
        <f>($AB$99) * (575)</f>
        <v>0</v>
      </c>
      <c r="BA99">
        <f>($AC$99) * (430)</f>
        <v>0</v>
      </c>
      <c r="BB99">
        <f>($AD$99) * (645)</f>
        <v>0</v>
      </c>
      <c r="BC99">
        <f>($AE$99) * (715)</f>
        <v>0</v>
      </c>
      <c r="BO99">
        <v>1</v>
      </c>
      <c r="BP99">
        <f>SUM($K$99:$O$99)</f>
        <v>0</v>
      </c>
    </row>
    <row r="100" spans="1:68" x14ac:dyDescent="0.25">
      <c r="A100">
        <v>283</v>
      </c>
      <c r="B100">
        <v>2</v>
      </c>
      <c r="C100">
        <v>14200</v>
      </c>
      <c r="D100">
        <v>2</v>
      </c>
      <c r="E100">
        <v>6</v>
      </c>
      <c r="F100" t="s">
        <v>10</v>
      </c>
      <c r="G100">
        <v>4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f>($H$100) * (225)</f>
        <v>0</v>
      </c>
      <c r="AG100">
        <f>($I$100) * (80)</f>
        <v>0</v>
      </c>
      <c r="AH100">
        <f>($J$100) * (80)</f>
        <v>0</v>
      </c>
      <c r="AI100">
        <f>($K$100) * (225)</f>
        <v>0</v>
      </c>
      <c r="AJ100">
        <f>($L$100) * (80)</f>
        <v>0</v>
      </c>
      <c r="AK100">
        <f>($M$100) * (80)</f>
        <v>0</v>
      </c>
      <c r="AL100">
        <f>($N$100) * (225)</f>
        <v>0</v>
      </c>
      <c r="AM100">
        <f>($O$100) * (225)</f>
        <v>0</v>
      </c>
      <c r="AN100">
        <f>($P$100) * (80)</f>
        <v>0</v>
      </c>
      <c r="AO100">
        <f>($Q$100) * (80)</f>
        <v>0</v>
      </c>
      <c r="AP100">
        <f>($R$100) * (225)</f>
        <v>0</v>
      </c>
      <c r="AQ100">
        <f>($S$100) * (80)</f>
        <v>0</v>
      </c>
      <c r="AR100">
        <f>($T$100) * (80)</f>
        <v>0</v>
      </c>
      <c r="AS100">
        <f>($U$100) * (295)</f>
        <v>0</v>
      </c>
      <c r="AT100">
        <f>($V$100) * (150)</f>
        <v>0</v>
      </c>
      <c r="AU100">
        <f>($W$100) * (150)</f>
        <v>0</v>
      </c>
      <c r="AV100">
        <f>($X$100) * (365)</f>
        <v>0</v>
      </c>
      <c r="AW100">
        <f>($Y$100) * (220)</f>
        <v>0</v>
      </c>
      <c r="AX100">
        <f>($Z$100) * (435)</f>
        <v>0</v>
      </c>
      <c r="AY100">
        <f>($AA$100) * (290)</f>
        <v>0</v>
      </c>
      <c r="AZ100">
        <f>($AB$100) * (505)</f>
        <v>0</v>
      </c>
      <c r="BA100">
        <f>($AC$100) * (360)</f>
        <v>0</v>
      </c>
      <c r="BB100">
        <f>($AD$100) * (575)</f>
        <v>0</v>
      </c>
      <c r="BC100">
        <f>($AE$100) * (645)</f>
        <v>0</v>
      </c>
      <c r="BO100">
        <v>1</v>
      </c>
      <c r="BP100">
        <f>SUM($N$100:$U$100)</f>
        <v>0</v>
      </c>
    </row>
    <row r="101" spans="1:68" x14ac:dyDescent="0.25">
      <c r="A101">
        <v>296</v>
      </c>
      <c r="B101">
        <v>2</v>
      </c>
      <c r="C101">
        <v>7976</v>
      </c>
      <c r="D101">
        <v>6</v>
      </c>
      <c r="E101">
        <v>11</v>
      </c>
      <c r="F101" t="s">
        <v>10</v>
      </c>
      <c r="G101">
        <v>3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f>($H$101) * (225)</f>
        <v>0</v>
      </c>
      <c r="AG101">
        <f>($I$101) * (80)</f>
        <v>0</v>
      </c>
      <c r="AH101">
        <f>($J$101) * (80)</f>
        <v>0</v>
      </c>
      <c r="AI101">
        <f>($K$101) * (225)</f>
        <v>0</v>
      </c>
      <c r="AJ101">
        <f>($L$101) * (80)</f>
        <v>0</v>
      </c>
      <c r="AK101">
        <f>($M$101) * (80)</f>
        <v>0</v>
      </c>
      <c r="AL101">
        <f>($N$101) * (225)</f>
        <v>0</v>
      </c>
      <c r="AM101">
        <f>($O$101) * (225)</f>
        <v>0</v>
      </c>
      <c r="AN101">
        <f>($P$101) * (80)</f>
        <v>0</v>
      </c>
      <c r="AO101">
        <f>($Q$101) * (80)</f>
        <v>0</v>
      </c>
      <c r="AP101">
        <f>($R$101) * (225)</f>
        <v>0</v>
      </c>
      <c r="AQ101">
        <f>($S$101) * (80)</f>
        <v>0</v>
      </c>
      <c r="AR101">
        <f>($T$101) * (80)</f>
        <v>0</v>
      </c>
      <c r="AS101">
        <f>($U$101) * (225)</f>
        <v>0</v>
      </c>
      <c r="AT101">
        <f>($V$101) * (80)</f>
        <v>0</v>
      </c>
      <c r="AU101">
        <f>($W$101) * (80)</f>
        <v>0</v>
      </c>
      <c r="AV101">
        <f>($X$101) * (225)</f>
        <v>0</v>
      </c>
      <c r="AW101">
        <f>($Y$101) * (80)</f>
        <v>0</v>
      </c>
      <c r="AX101">
        <f>($Z$101) * (225)</f>
        <v>0</v>
      </c>
      <c r="AY101">
        <f>($AA$101) * (80)</f>
        <v>0</v>
      </c>
      <c r="AZ101">
        <f>($AB$101) * (295)</f>
        <v>0</v>
      </c>
      <c r="BA101">
        <f>($AC$101) * (150)</f>
        <v>0</v>
      </c>
      <c r="BB101">
        <f>($AD$101) * (365)</f>
        <v>0</v>
      </c>
      <c r="BC101">
        <f>($AE$101) * (435)</f>
        <v>0</v>
      </c>
      <c r="BO101">
        <v>1</v>
      </c>
      <c r="BP101">
        <f>SUM($X$101:$AE$101)</f>
        <v>0</v>
      </c>
    </row>
    <row r="102" spans="1:68" x14ac:dyDescent="0.25">
      <c r="A102">
        <v>297</v>
      </c>
      <c r="B102">
        <v>2</v>
      </c>
      <c r="C102">
        <v>14200</v>
      </c>
      <c r="D102">
        <v>6</v>
      </c>
      <c r="E102">
        <v>11</v>
      </c>
      <c r="F102" t="s">
        <v>10</v>
      </c>
      <c r="G102">
        <v>2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f>($H$102) * (225)</f>
        <v>0</v>
      </c>
      <c r="AG102">
        <f>($I$102) * (80)</f>
        <v>0</v>
      </c>
      <c r="AH102">
        <f>($J$102) * (80)</f>
        <v>0</v>
      </c>
      <c r="AI102">
        <f>($K$102) * (225)</f>
        <v>0</v>
      </c>
      <c r="AJ102">
        <f>($L$102) * (80)</f>
        <v>0</v>
      </c>
      <c r="AK102">
        <f>($M$102) * (80)</f>
        <v>0</v>
      </c>
      <c r="AL102">
        <f>($N$102) * (225)</f>
        <v>0</v>
      </c>
      <c r="AM102">
        <f>($O$102) * (225)</f>
        <v>0</v>
      </c>
      <c r="AN102">
        <f>($P$102) * (80)</f>
        <v>0</v>
      </c>
      <c r="AO102">
        <f>($Q$102) * (80)</f>
        <v>0</v>
      </c>
      <c r="AP102">
        <f>($R$102) * (225)</f>
        <v>0</v>
      </c>
      <c r="AQ102">
        <f>($S$102) * (80)</f>
        <v>0</v>
      </c>
      <c r="AR102">
        <f>($T$102) * (80)</f>
        <v>0</v>
      </c>
      <c r="AS102">
        <f>($U$102) * (225)</f>
        <v>0</v>
      </c>
      <c r="AT102">
        <f>($V$102) * (80)</f>
        <v>0</v>
      </c>
      <c r="AU102">
        <f>($W$102) * (80)</f>
        <v>0</v>
      </c>
      <c r="AV102">
        <f>($X$102) * (225)</f>
        <v>0</v>
      </c>
      <c r="AW102">
        <f>($Y$102) * (80)</f>
        <v>0</v>
      </c>
      <c r="AX102">
        <f>($Z$102) * (295)</f>
        <v>0</v>
      </c>
      <c r="AY102">
        <f>($AA$102) * (150)</f>
        <v>0</v>
      </c>
      <c r="AZ102">
        <f>($AB$102) * (365)</f>
        <v>0</v>
      </c>
      <c r="BA102">
        <f>($AC$102) * (220)</f>
        <v>0</v>
      </c>
      <c r="BB102">
        <f>($AD$102) * (435)</f>
        <v>0</v>
      </c>
      <c r="BC102">
        <f>($AE$102) * (505)</f>
        <v>0</v>
      </c>
      <c r="BO102">
        <v>1</v>
      </c>
      <c r="BP102">
        <f>SUM($X$102:$AE$102)</f>
        <v>0</v>
      </c>
    </row>
    <row r="103" spans="1:68" x14ac:dyDescent="0.25">
      <c r="A103">
        <v>2</v>
      </c>
      <c r="B103">
        <v>1</v>
      </c>
      <c r="C103">
        <v>23000</v>
      </c>
      <c r="D103">
        <v>2</v>
      </c>
      <c r="E103">
        <v>6</v>
      </c>
      <c r="F103" t="s">
        <v>8</v>
      </c>
      <c r="G103">
        <v>3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f>($H$103) * (225)</f>
        <v>0</v>
      </c>
      <c r="AG103">
        <f>($I$103) * (40)</f>
        <v>0</v>
      </c>
      <c r="AH103">
        <f>($J$103) * (40)</f>
        <v>0</v>
      </c>
      <c r="AI103">
        <f>($K$103) * (225)</f>
        <v>0</v>
      </c>
      <c r="AJ103">
        <f>($L$103) * (40)</f>
        <v>0</v>
      </c>
      <c r="AK103">
        <f>($M$103) * (40)</f>
        <v>0</v>
      </c>
      <c r="AL103">
        <f>($N$103) * (225)</f>
        <v>0</v>
      </c>
      <c r="AM103">
        <f>($O$103) * (225)</f>
        <v>0</v>
      </c>
      <c r="AN103">
        <f>($P$103) * (40)</f>
        <v>0</v>
      </c>
      <c r="AO103">
        <f>($Q$103) * (40)</f>
        <v>0</v>
      </c>
      <c r="AP103">
        <f>($R$103) * (275)</f>
        <v>0</v>
      </c>
      <c r="AQ103">
        <f>($S$103) * (90)</f>
        <v>0</v>
      </c>
      <c r="AR103">
        <f>($T$103) * (90)</f>
        <v>0</v>
      </c>
      <c r="AS103">
        <f>($U$103) * (325)</f>
        <v>0</v>
      </c>
      <c r="AT103">
        <f>($V$103) * (140)</f>
        <v>0</v>
      </c>
      <c r="AU103">
        <f>($W$103) * (140)</f>
        <v>0</v>
      </c>
      <c r="AV103">
        <f>($X$103) * (375)</f>
        <v>0</v>
      </c>
      <c r="AW103">
        <f>($Y$103) * (190)</f>
        <v>0</v>
      </c>
      <c r="AX103">
        <f>($Z$103) * (425)</f>
        <v>0</v>
      </c>
      <c r="AY103">
        <f>($AA$103) * (240)</f>
        <v>0</v>
      </c>
      <c r="AZ103">
        <f>($AB$103) * (475)</f>
        <v>0</v>
      </c>
      <c r="BA103">
        <f>($AC$103) * (290)</f>
        <v>0</v>
      </c>
      <c r="BB103">
        <f>($AD$103) * (525)</f>
        <v>0</v>
      </c>
      <c r="BC103">
        <f>($AE$103) * (575)</f>
        <v>0</v>
      </c>
      <c r="BO103">
        <v>1</v>
      </c>
      <c r="BP103">
        <f>SUM($N$103:$U$103)</f>
        <v>0</v>
      </c>
    </row>
    <row r="104" spans="1:68" x14ac:dyDescent="0.25">
      <c r="A104">
        <v>28</v>
      </c>
      <c r="B104">
        <v>2</v>
      </c>
      <c r="C104">
        <v>9382</v>
      </c>
      <c r="D104">
        <v>5</v>
      </c>
      <c r="E104">
        <v>10</v>
      </c>
      <c r="F104" t="s">
        <v>8</v>
      </c>
      <c r="G104">
        <v>3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f>($H$104) * (225)</f>
        <v>0</v>
      </c>
      <c r="AG104">
        <f>($I$104) * (80)</f>
        <v>0</v>
      </c>
      <c r="AH104">
        <f>($J$104) * (80)</f>
        <v>0</v>
      </c>
      <c r="AI104">
        <f>($K$104) * (225)</f>
        <v>0</v>
      </c>
      <c r="AJ104">
        <f>($L$104) * (80)</f>
        <v>0</v>
      </c>
      <c r="AK104">
        <f>($M$104) * (80)</f>
        <v>0</v>
      </c>
      <c r="AL104">
        <f>($N$104) * (225)</f>
        <v>0</v>
      </c>
      <c r="AM104">
        <f>($O$104) * (225)</f>
        <v>0</v>
      </c>
      <c r="AN104">
        <f>($P$104) * (80)</f>
        <v>0</v>
      </c>
      <c r="AO104">
        <f>($Q$104) * (80)</f>
        <v>0</v>
      </c>
      <c r="AP104">
        <f>($R$104) * (225)</f>
        <v>0</v>
      </c>
      <c r="AQ104">
        <f>($S$104) * (80)</f>
        <v>0</v>
      </c>
      <c r="AR104">
        <f>($T$104) * (80)</f>
        <v>0</v>
      </c>
      <c r="AS104">
        <f>($U$104) * (225)</f>
        <v>0</v>
      </c>
      <c r="AT104">
        <f>($V$104) * (80)</f>
        <v>0</v>
      </c>
      <c r="AU104">
        <f>($W$104) * (80)</f>
        <v>0</v>
      </c>
      <c r="AV104">
        <f>($X$104) * (225)</f>
        <v>0</v>
      </c>
      <c r="AW104">
        <f>($Y$104) * (80)</f>
        <v>0</v>
      </c>
      <c r="AX104">
        <f>($Z$104) * (295)</f>
        <v>0</v>
      </c>
      <c r="AY104">
        <f>($AA$104) * (150)</f>
        <v>0</v>
      </c>
      <c r="AZ104">
        <f>($AB$104) * (365)</f>
        <v>0</v>
      </c>
      <c r="BA104">
        <f>($AC$104) * (220)</f>
        <v>0</v>
      </c>
      <c r="BB104">
        <f>($AD$104) * (435)</f>
        <v>0</v>
      </c>
      <c r="BC104">
        <f>($AE$104) * (505)</f>
        <v>0</v>
      </c>
      <c r="BO104">
        <v>1</v>
      </c>
      <c r="BP104">
        <f>SUM($U$104:$AD$104)</f>
        <v>0</v>
      </c>
    </row>
    <row r="105" spans="1:68" x14ac:dyDescent="0.25">
      <c r="A105">
        <v>39</v>
      </c>
      <c r="B105">
        <v>2</v>
      </c>
      <c r="C105">
        <v>8950</v>
      </c>
      <c r="D105">
        <v>3</v>
      </c>
      <c r="E105">
        <v>7</v>
      </c>
      <c r="F105" t="s">
        <v>8</v>
      </c>
      <c r="G105">
        <v>3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f>($H$105) * (225)</f>
        <v>0</v>
      </c>
      <c r="AG105">
        <f>($I$105) * (80)</f>
        <v>0</v>
      </c>
      <c r="AH105">
        <f>($J$105) * (80)</f>
        <v>0</v>
      </c>
      <c r="AI105">
        <f>($K$105) * (225)</f>
        <v>0</v>
      </c>
      <c r="AJ105">
        <f>($L$105) * (80)</f>
        <v>0</v>
      </c>
      <c r="AK105">
        <f>($M$105) * (80)</f>
        <v>0</v>
      </c>
      <c r="AL105">
        <f>($N$105) * (225)</f>
        <v>0</v>
      </c>
      <c r="AM105">
        <f>($O$105) * (225)</f>
        <v>0</v>
      </c>
      <c r="AN105">
        <f>($P$105) * (80)</f>
        <v>0</v>
      </c>
      <c r="AO105">
        <f>($Q$105) * (80)</f>
        <v>0</v>
      </c>
      <c r="AP105">
        <f>($R$105) * (225)</f>
        <v>0</v>
      </c>
      <c r="AQ105">
        <f>($S$105) * (80)</f>
        <v>0</v>
      </c>
      <c r="AR105">
        <f>($T$105) * (80)</f>
        <v>0</v>
      </c>
      <c r="AS105">
        <f>($U$105) * (295)</f>
        <v>0</v>
      </c>
      <c r="AT105">
        <f>($V$105) * (150)</f>
        <v>0</v>
      </c>
      <c r="AU105">
        <f>($W$105) * (150)</f>
        <v>0</v>
      </c>
      <c r="AV105">
        <f>($X$105) * (365)</f>
        <v>0</v>
      </c>
      <c r="AW105">
        <f>($Y$105) * (220)</f>
        <v>0</v>
      </c>
      <c r="AX105">
        <f>($Z$105) * (435)</f>
        <v>0</v>
      </c>
      <c r="AY105">
        <f>($AA$105) * (290)</f>
        <v>0</v>
      </c>
      <c r="AZ105">
        <f>($AB$105) * (505)</f>
        <v>0</v>
      </c>
      <c r="BA105">
        <f>($AC$105) * (360)</f>
        <v>0</v>
      </c>
      <c r="BB105">
        <f>($AD$105) * (575)</f>
        <v>0</v>
      </c>
      <c r="BC105">
        <f>($AE$105) * (645)</f>
        <v>0</v>
      </c>
      <c r="BO105">
        <v>1</v>
      </c>
      <c r="BP105">
        <f>SUM($O$105:$X$105)</f>
        <v>0</v>
      </c>
    </row>
    <row r="106" spans="1:68" x14ac:dyDescent="0.25">
      <c r="A106">
        <v>56</v>
      </c>
      <c r="B106">
        <v>1</v>
      </c>
      <c r="C106">
        <v>22300</v>
      </c>
      <c r="D106">
        <v>3</v>
      </c>
      <c r="E106">
        <v>7</v>
      </c>
      <c r="F106" t="s">
        <v>8</v>
      </c>
      <c r="G106">
        <v>3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f>($H$106) * (225)</f>
        <v>0</v>
      </c>
      <c r="AG106">
        <f>($I$106) * (40)</f>
        <v>0</v>
      </c>
      <c r="AH106">
        <f>($J$106) * (40)</f>
        <v>0</v>
      </c>
      <c r="AI106">
        <f>($K$106) * (225)</f>
        <v>0</v>
      </c>
      <c r="AJ106">
        <f>($L$106) * (40)</f>
        <v>0</v>
      </c>
      <c r="AK106">
        <f>($M$106) * (40)</f>
        <v>0</v>
      </c>
      <c r="AL106">
        <f>($N$106) * (225)</f>
        <v>0</v>
      </c>
      <c r="AM106">
        <f>($O$106) * (225)</f>
        <v>0</v>
      </c>
      <c r="AN106">
        <f>($P$106) * (40)</f>
        <v>0</v>
      </c>
      <c r="AO106">
        <f>($Q$106) * (40)</f>
        <v>0</v>
      </c>
      <c r="AP106">
        <f>($R$106) * (225)</f>
        <v>0</v>
      </c>
      <c r="AQ106">
        <f>($S$106) * (40)</f>
        <v>0</v>
      </c>
      <c r="AR106">
        <f>($T$106) * (40)</f>
        <v>0</v>
      </c>
      <c r="AS106">
        <f>($U$106) * (275)</f>
        <v>0</v>
      </c>
      <c r="AT106">
        <f>($V$106) * (90)</f>
        <v>0</v>
      </c>
      <c r="AU106">
        <f>($W$106) * (90)</f>
        <v>0</v>
      </c>
      <c r="AV106">
        <f>($X$106) * (325)</f>
        <v>0</v>
      </c>
      <c r="AW106">
        <f>($Y$106) * (140)</f>
        <v>0</v>
      </c>
      <c r="AX106">
        <f>($Z$106) * (375)</f>
        <v>0</v>
      </c>
      <c r="AY106">
        <f>($AA$106) * (190)</f>
        <v>0</v>
      </c>
      <c r="AZ106">
        <f>($AB$106) * (425)</f>
        <v>0</v>
      </c>
      <c r="BA106">
        <f>($AC$106) * (240)</f>
        <v>0</v>
      </c>
      <c r="BB106">
        <f>($AD$106) * (475)</f>
        <v>0</v>
      </c>
      <c r="BC106">
        <f>($AE$106) * (525)</f>
        <v>0</v>
      </c>
      <c r="BO106">
        <v>1</v>
      </c>
      <c r="BP106">
        <f>SUM($O$106:$X$106)</f>
        <v>0</v>
      </c>
    </row>
    <row r="107" spans="1:68" x14ac:dyDescent="0.25">
      <c r="A107">
        <v>81</v>
      </c>
      <c r="B107">
        <v>2</v>
      </c>
      <c r="C107">
        <v>9200</v>
      </c>
      <c r="D107">
        <v>3</v>
      </c>
      <c r="E107">
        <v>8</v>
      </c>
      <c r="F107" t="s">
        <v>8</v>
      </c>
      <c r="G107">
        <v>3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f>($H$107) * (225)</f>
        <v>0</v>
      </c>
      <c r="AG107">
        <f>($I$107) * (80)</f>
        <v>0</v>
      </c>
      <c r="AH107">
        <f>($J$107) * (80)</f>
        <v>0</v>
      </c>
      <c r="AI107">
        <f>($K$107) * (225)</f>
        <v>0</v>
      </c>
      <c r="AJ107">
        <f>($L$107) * (80)</f>
        <v>0</v>
      </c>
      <c r="AK107">
        <f>($M$107) * (80)</f>
        <v>0</v>
      </c>
      <c r="AL107">
        <f>($N$107) * (225)</f>
        <v>0</v>
      </c>
      <c r="AM107">
        <f>($O$107) * (225)</f>
        <v>0</v>
      </c>
      <c r="AN107">
        <f>($P$107) * (80)</f>
        <v>0</v>
      </c>
      <c r="AO107">
        <f>($Q$107) * (80)</f>
        <v>0</v>
      </c>
      <c r="AP107">
        <f>($R$107) * (225)</f>
        <v>0</v>
      </c>
      <c r="AQ107">
        <f>($S$107) * (80)</f>
        <v>0</v>
      </c>
      <c r="AR107">
        <f>($T$107) * (80)</f>
        <v>0</v>
      </c>
      <c r="AS107">
        <f>($U$107) * (295)</f>
        <v>0</v>
      </c>
      <c r="AT107">
        <f>($V$107) * (150)</f>
        <v>0</v>
      </c>
      <c r="AU107">
        <f>($W$107) * (150)</f>
        <v>0</v>
      </c>
      <c r="AV107">
        <f>($X$107) * (365)</f>
        <v>0</v>
      </c>
      <c r="AW107">
        <f>($Y$107) * (220)</f>
        <v>0</v>
      </c>
      <c r="AX107">
        <f>($Z$107) * (435)</f>
        <v>0</v>
      </c>
      <c r="AY107">
        <f>($AA$107) * (290)</f>
        <v>0</v>
      </c>
      <c r="AZ107">
        <f>($AB$107) * (505)</f>
        <v>0</v>
      </c>
      <c r="BA107">
        <f>($AC$107) * (360)</f>
        <v>0</v>
      </c>
      <c r="BB107">
        <f>($AD$107) * (575)</f>
        <v>0</v>
      </c>
      <c r="BC107">
        <f>($AE$107) * (645)</f>
        <v>0</v>
      </c>
      <c r="BO107">
        <v>1</v>
      </c>
      <c r="BP107">
        <f>SUM($O$107:$Z$107)</f>
        <v>0</v>
      </c>
    </row>
    <row r="108" spans="1:68" x14ac:dyDescent="0.25">
      <c r="A108">
        <v>82</v>
      </c>
      <c r="B108">
        <v>2</v>
      </c>
      <c r="C108">
        <v>4200</v>
      </c>
      <c r="D108">
        <v>2</v>
      </c>
      <c r="E108">
        <v>7</v>
      </c>
      <c r="F108" t="s">
        <v>8</v>
      </c>
      <c r="G108">
        <v>3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f>($H$108) * (225)</f>
        <v>0</v>
      </c>
      <c r="AG108">
        <f>($I$108) * (80)</f>
        <v>0</v>
      </c>
      <c r="AH108">
        <f>($J$108) * (80)</f>
        <v>0</v>
      </c>
      <c r="AI108">
        <f>($K$108) * (225)</f>
        <v>0</v>
      </c>
      <c r="AJ108">
        <f>($L$108) * (80)</f>
        <v>0</v>
      </c>
      <c r="AK108">
        <f>($M$108) * (80)</f>
        <v>0</v>
      </c>
      <c r="AL108">
        <f>($N$108) * (225)</f>
        <v>0</v>
      </c>
      <c r="AM108">
        <f>($O$108) * (225)</f>
        <v>0</v>
      </c>
      <c r="AN108">
        <f>($P$108) * (80)</f>
        <v>0</v>
      </c>
      <c r="AO108">
        <f>($Q$108) * (80)</f>
        <v>0</v>
      </c>
      <c r="AP108">
        <f>($R$108) * (295)</f>
        <v>0</v>
      </c>
      <c r="AQ108">
        <f>($S$108) * (150)</f>
        <v>0</v>
      </c>
      <c r="AR108">
        <f>($T$108) * (150)</f>
        <v>0</v>
      </c>
      <c r="AS108">
        <f>($U$108) * (365)</f>
        <v>0</v>
      </c>
      <c r="AT108">
        <f>($V$108) * (220)</f>
        <v>0</v>
      </c>
      <c r="AU108">
        <f>($W$108) * (220)</f>
        <v>0</v>
      </c>
      <c r="AV108">
        <f>($X$108) * (435)</f>
        <v>0</v>
      </c>
      <c r="AW108">
        <f>($Y$108) * (290)</f>
        <v>0</v>
      </c>
      <c r="AX108">
        <f>($Z$108) * (505)</f>
        <v>0</v>
      </c>
      <c r="AY108">
        <f>($AA$108) * (360)</f>
        <v>0</v>
      </c>
      <c r="AZ108">
        <f>($AB$108) * (575)</f>
        <v>0</v>
      </c>
      <c r="BA108">
        <f>($AC$108) * (430)</f>
        <v>0</v>
      </c>
      <c r="BB108">
        <f>($AD$108) * (645)</f>
        <v>0</v>
      </c>
      <c r="BC108">
        <f>($AE$108) * (715)</f>
        <v>0</v>
      </c>
      <c r="BO108">
        <v>1</v>
      </c>
      <c r="BP108">
        <f>SUM($N$108:$X$108)</f>
        <v>0</v>
      </c>
    </row>
    <row r="109" spans="1:68" x14ac:dyDescent="0.25">
      <c r="A109">
        <v>83</v>
      </c>
      <c r="B109">
        <v>2</v>
      </c>
      <c r="C109">
        <v>8192</v>
      </c>
      <c r="D109">
        <v>5</v>
      </c>
      <c r="E109">
        <v>10</v>
      </c>
      <c r="F109" t="s">
        <v>8</v>
      </c>
      <c r="G109">
        <v>4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f>($H$109) * (225)</f>
        <v>0</v>
      </c>
      <c r="AG109">
        <f>($I$109) * (80)</f>
        <v>0</v>
      </c>
      <c r="AH109">
        <f>($J$109) * (80)</f>
        <v>0</v>
      </c>
      <c r="AI109">
        <f>($K$109) * (225)</f>
        <v>0</v>
      </c>
      <c r="AJ109">
        <f>($L$109) * (80)</f>
        <v>0</v>
      </c>
      <c r="AK109">
        <f>($M$109) * (80)</f>
        <v>0</v>
      </c>
      <c r="AL109">
        <f>($N$109) * (225)</f>
        <v>0</v>
      </c>
      <c r="AM109">
        <f>($O$109) * (225)</f>
        <v>0</v>
      </c>
      <c r="AN109">
        <f>($P$109) * (80)</f>
        <v>0</v>
      </c>
      <c r="AO109">
        <f>($Q$109) * (80)</f>
        <v>0</v>
      </c>
      <c r="AP109">
        <f>($R$109) * (225)</f>
        <v>0</v>
      </c>
      <c r="AQ109">
        <f>($S$109) * (80)</f>
        <v>0</v>
      </c>
      <c r="AR109">
        <f>($T$109) * (80)</f>
        <v>0</v>
      </c>
      <c r="AS109">
        <f>($U$109) * (225)</f>
        <v>0</v>
      </c>
      <c r="AT109">
        <f>($V$109) * (80)</f>
        <v>0</v>
      </c>
      <c r="AU109">
        <f>($W$109) * (80)</f>
        <v>0</v>
      </c>
      <c r="AV109">
        <f>($X$109) * (225)</f>
        <v>0</v>
      </c>
      <c r="AW109">
        <f>($Y$109) * (80)</f>
        <v>0</v>
      </c>
      <c r="AX109">
        <f>($Z$109) * (225)</f>
        <v>0</v>
      </c>
      <c r="AY109">
        <f>($AA$109) * (80)</f>
        <v>0</v>
      </c>
      <c r="AZ109">
        <f>($AB$109) * (295)</f>
        <v>0</v>
      </c>
      <c r="BA109">
        <f>($AC$109) * (150)</f>
        <v>0</v>
      </c>
      <c r="BB109">
        <f>($AD$109) * (365)</f>
        <v>0</v>
      </c>
      <c r="BC109">
        <f>($AE$109) * (435)</f>
        <v>0</v>
      </c>
      <c r="BO109">
        <v>1</v>
      </c>
      <c r="BP109">
        <f>SUM($U$109:$AD$109)</f>
        <v>0</v>
      </c>
    </row>
    <row r="110" spans="1:68" x14ac:dyDescent="0.25">
      <c r="A110">
        <v>84</v>
      </c>
      <c r="B110">
        <v>2</v>
      </c>
      <c r="C110">
        <v>8192</v>
      </c>
      <c r="D110">
        <v>-1</v>
      </c>
      <c r="E110">
        <v>2</v>
      </c>
      <c r="F110" t="s">
        <v>8</v>
      </c>
      <c r="G110">
        <v>3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f>($H$110) * (225)</f>
        <v>0</v>
      </c>
      <c r="AG110">
        <f>($I$110) * (80)</f>
        <v>0</v>
      </c>
      <c r="AH110">
        <f>($J$110) * (80)</f>
        <v>0</v>
      </c>
      <c r="AI110">
        <f>($K$110) * (295)</f>
        <v>0</v>
      </c>
      <c r="AJ110">
        <f>($L$110) * (150)</f>
        <v>0</v>
      </c>
      <c r="AK110">
        <f>($M$110) * (150)</f>
        <v>0</v>
      </c>
      <c r="AL110">
        <f>($N$110) * (365)</f>
        <v>0</v>
      </c>
      <c r="AM110">
        <f>($O$110) * (435)</f>
        <v>0</v>
      </c>
      <c r="AN110">
        <f>($P$110) * (290)</f>
        <v>0</v>
      </c>
      <c r="AO110">
        <f>($Q$110) * (290)</f>
        <v>0</v>
      </c>
      <c r="AP110">
        <f>($R$110) * (505)</f>
        <v>0</v>
      </c>
      <c r="AQ110">
        <f>($S$110) * (360)</f>
        <v>0</v>
      </c>
      <c r="AR110">
        <f>($T$110) * (360)</f>
        <v>0</v>
      </c>
      <c r="AS110">
        <f>($U$110) * (575)</f>
        <v>0</v>
      </c>
      <c r="AT110">
        <f>($V$110) * (430)</f>
        <v>0</v>
      </c>
      <c r="AU110">
        <f>($W$110) * (430)</f>
        <v>0</v>
      </c>
      <c r="AV110">
        <f>($X$110) * (645)</f>
        <v>0</v>
      </c>
      <c r="AW110">
        <f>($Y$110) * (500)</f>
        <v>0</v>
      </c>
      <c r="AX110">
        <f>($Z$110) * (715)</f>
        <v>0</v>
      </c>
      <c r="AY110">
        <f>($AA$110) * (570)</f>
        <v>0</v>
      </c>
      <c r="AZ110">
        <f>($AB$110) * (785)</f>
        <v>0</v>
      </c>
      <c r="BA110">
        <f>($AC$110) * (640)</f>
        <v>0</v>
      </c>
      <c r="BB110">
        <f>($AD$110) * (855)</f>
        <v>0</v>
      </c>
      <c r="BC110">
        <f>($AE$110) * (925)</f>
        <v>0</v>
      </c>
      <c r="BO110">
        <v>1</v>
      </c>
      <c r="BP110">
        <f>SUM($H$110:$K$110)</f>
        <v>0</v>
      </c>
    </row>
    <row r="111" spans="1:68" x14ac:dyDescent="0.25">
      <c r="A111">
        <v>89</v>
      </c>
      <c r="B111">
        <v>2</v>
      </c>
      <c r="C111">
        <v>30696</v>
      </c>
      <c r="D111">
        <v>2</v>
      </c>
      <c r="E111">
        <v>6</v>
      </c>
      <c r="F111" t="s">
        <v>8</v>
      </c>
      <c r="G111">
        <v>3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f>($H$111) * (225)</f>
        <v>0</v>
      </c>
      <c r="AG111">
        <f>($I$111) * (80)</f>
        <v>0</v>
      </c>
      <c r="AH111">
        <f>($J$111) * (80)</f>
        <v>0</v>
      </c>
      <c r="AI111">
        <f>($K$111) * (225)</f>
        <v>0</v>
      </c>
      <c r="AJ111">
        <f>($L$111) * (80)</f>
        <v>0</v>
      </c>
      <c r="AK111">
        <f>($M$111) * (80)</f>
        <v>0</v>
      </c>
      <c r="AL111">
        <f>($N$111) * (225)</f>
        <v>0</v>
      </c>
      <c r="AM111">
        <f>($O$111) * (225)</f>
        <v>0</v>
      </c>
      <c r="AN111">
        <f>($P$111) * (80)</f>
        <v>0</v>
      </c>
      <c r="AO111">
        <f>($Q$111) * (80)</f>
        <v>0</v>
      </c>
      <c r="AP111">
        <f>($R$111) * (295)</f>
        <v>0</v>
      </c>
      <c r="AQ111">
        <f>($S$111) * (150)</f>
        <v>0</v>
      </c>
      <c r="AR111">
        <f>($T$111) * (150)</f>
        <v>0</v>
      </c>
      <c r="AS111">
        <f>($U$111) * (365)</f>
        <v>0</v>
      </c>
      <c r="AT111">
        <f>($V$111) * (220)</f>
        <v>0</v>
      </c>
      <c r="AU111">
        <f>($W$111) * (220)</f>
        <v>0</v>
      </c>
      <c r="AV111">
        <f>($X$111) * (435)</f>
        <v>0</v>
      </c>
      <c r="AW111">
        <f>($Y$111) * (290)</f>
        <v>0</v>
      </c>
      <c r="AX111">
        <f>($Z$111) * (505)</f>
        <v>0</v>
      </c>
      <c r="AY111">
        <f>($AA$111) * (360)</f>
        <v>0</v>
      </c>
      <c r="AZ111">
        <f>($AB$111) * (575)</f>
        <v>0</v>
      </c>
      <c r="BA111">
        <f>($AC$111) * (430)</f>
        <v>0</v>
      </c>
      <c r="BB111">
        <f>($AD$111) * (645)</f>
        <v>0</v>
      </c>
      <c r="BC111">
        <f>($AE$111) * (715)</f>
        <v>0</v>
      </c>
      <c r="BO111">
        <v>1</v>
      </c>
      <c r="BP111">
        <f>SUM($N$111:$U$111)</f>
        <v>0</v>
      </c>
    </row>
    <row r="112" spans="1:68" x14ac:dyDescent="0.25">
      <c r="A112">
        <v>90</v>
      </c>
      <c r="B112">
        <v>2</v>
      </c>
      <c r="C112">
        <v>29960</v>
      </c>
      <c r="D112">
        <v>3</v>
      </c>
      <c r="E112">
        <v>6</v>
      </c>
      <c r="F112" t="s">
        <v>8</v>
      </c>
      <c r="G112">
        <v>3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f>($H$112) * (225)</f>
        <v>0</v>
      </c>
      <c r="AG112">
        <f>($I$112) * (80)</f>
        <v>0</v>
      </c>
      <c r="AH112">
        <f>($J$112) * (80)</f>
        <v>0</v>
      </c>
      <c r="AI112">
        <f>($K$112) * (225)</f>
        <v>0</v>
      </c>
      <c r="AJ112">
        <f>($L$112) * (80)</f>
        <v>0</v>
      </c>
      <c r="AK112">
        <f>($M$112) * (80)</f>
        <v>0</v>
      </c>
      <c r="AL112">
        <f>($N$112) * (225)</f>
        <v>0</v>
      </c>
      <c r="AM112">
        <f>($O$112) * (225)</f>
        <v>0</v>
      </c>
      <c r="AN112">
        <f>($P$112) * (80)</f>
        <v>0</v>
      </c>
      <c r="AO112">
        <f>($Q$112) * (80)</f>
        <v>0</v>
      </c>
      <c r="AP112">
        <f>($R$112) * (225)</f>
        <v>0</v>
      </c>
      <c r="AQ112">
        <f>($S$112) * (80)</f>
        <v>0</v>
      </c>
      <c r="AR112">
        <f>($T$112) * (80)</f>
        <v>0</v>
      </c>
      <c r="AS112">
        <f>($U$112) * (295)</f>
        <v>0</v>
      </c>
      <c r="AT112">
        <f>($V$112) * (150)</f>
        <v>0</v>
      </c>
      <c r="AU112">
        <f>($W$112) * (150)</f>
        <v>0</v>
      </c>
      <c r="AV112">
        <f>($X$112) * (365)</f>
        <v>0</v>
      </c>
      <c r="AW112">
        <f>($Y$112) * (220)</f>
        <v>0</v>
      </c>
      <c r="AX112">
        <f>($Z$112) * (435)</f>
        <v>0</v>
      </c>
      <c r="AY112">
        <f>($AA$112) * (290)</f>
        <v>0</v>
      </c>
      <c r="AZ112">
        <f>($AB$112) * (505)</f>
        <v>0</v>
      </c>
      <c r="BA112">
        <f>($AC$112) * (360)</f>
        <v>0</v>
      </c>
      <c r="BB112">
        <f>($AD$112) * (575)</f>
        <v>0</v>
      </c>
      <c r="BC112">
        <f>($AE$112) * (645)</f>
        <v>0</v>
      </c>
      <c r="BO112">
        <v>1</v>
      </c>
      <c r="BP112">
        <f>SUM($O$112:$U$112)</f>
        <v>0</v>
      </c>
    </row>
    <row r="113" spans="1:68" x14ac:dyDescent="0.25">
      <c r="A113">
        <v>95</v>
      </c>
      <c r="B113">
        <v>1</v>
      </c>
      <c r="C113">
        <v>20589</v>
      </c>
      <c r="D113">
        <v>2</v>
      </c>
      <c r="E113">
        <v>6</v>
      </c>
      <c r="F113" t="s">
        <v>8</v>
      </c>
      <c r="G113">
        <v>3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f>($H$113) * (225)</f>
        <v>0</v>
      </c>
      <c r="AG113">
        <f>($I$113) * (40)</f>
        <v>0</v>
      </c>
      <c r="AH113">
        <f>($J$113) * (40)</f>
        <v>0</v>
      </c>
      <c r="AI113">
        <f>($K$113) * (225)</f>
        <v>0</v>
      </c>
      <c r="AJ113">
        <f>($L$113) * (40)</f>
        <v>0</v>
      </c>
      <c r="AK113">
        <f>($M$113) * (40)</f>
        <v>0</v>
      </c>
      <c r="AL113">
        <f>($N$113) * (225)</f>
        <v>0</v>
      </c>
      <c r="AM113">
        <f>($O$113) * (225)</f>
        <v>0</v>
      </c>
      <c r="AN113">
        <f>($P$113) * (40)</f>
        <v>0</v>
      </c>
      <c r="AO113">
        <f>($Q$113) * (40)</f>
        <v>0</v>
      </c>
      <c r="AP113">
        <f>($R$113) * (275)</f>
        <v>0</v>
      </c>
      <c r="AQ113">
        <f>($S$113) * (90)</f>
        <v>0</v>
      </c>
      <c r="AR113">
        <f>($T$113) * (90)</f>
        <v>0</v>
      </c>
      <c r="AS113">
        <f>($U$113) * (325)</f>
        <v>0</v>
      </c>
      <c r="AT113">
        <f>($V$113) * (140)</f>
        <v>0</v>
      </c>
      <c r="AU113">
        <f>($W$113) * (140)</f>
        <v>0</v>
      </c>
      <c r="AV113">
        <f>($X$113) * (375)</f>
        <v>0</v>
      </c>
      <c r="AW113">
        <f>($Y$113) * (190)</f>
        <v>0</v>
      </c>
      <c r="AX113">
        <f>($Z$113) * (425)</f>
        <v>0</v>
      </c>
      <c r="AY113">
        <f>($AA$113) * (240)</f>
        <v>0</v>
      </c>
      <c r="AZ113">
        <f>($AB$113) * (475)</f>
        <v>0</v>
      </c>
      <c r="BA113">
        <f>($AC$113) * (290)</f>
        <v>0</v>
      </c>
      <c r="BB113">
        <f>($AD$113) * (525)</f>
        <v>0</v>
      </c>
      <c r="BC113">
        <f>($AE$113) * (575)</f>
        <v>0</v>
      </c>
      <c r="BO113">
        <v>1</v>
      </c>
      <c r="BP113">
        <f>SUM($N$113:$U$113)</f>
        <v>0</v>
      </c>
    </row>
    <row r="114" spans="1:68" x14ac:dyDescent="0.25">
      <c r="A114">
        <v>96</v>
      </c>
      <c r="B114">
        <v>1</v>
      </c>
      <c r="C114">
        <v>4076</v>
      </c>
      <c r="D114">
        <v>2</v>
      </c>
      <c r="E114">
        <v>6</v>
      </c>
      <c r="F114" t="s">
        <v>8</v>
      </c>
      <c r="G114">
        <v>3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f>($H$114) * (225)</f>
        <v>0</v>
      </c>
      <c r="AG114">
        <f>($I$114) * (40)</f>
        <v>0</v>
      </c>
      <c r="AH114">
        <f>($J$114) * (40)</f>
        <v>0</v>
      </c>
      <c r="AI114">
        <f>($K$114) * (225)</f>
        <v>0</v>
      </c>
      <c r="AJ114">
        <f>($L$114) * (40)</f>
        <v>0</v>
      </c>
      <c r="AK114">
        <f>($M$114) * (40)</f>
        <v>0</v>
      </c>
      <c r="AL114">
        <f>($N$114) * (225)</f>
        <v>0</v>
      </c>
      <c r="AM114">
        <f>($O$114) * (225)</f>
        <v>0</v>
      </c>
      <c r="AN114">
        <f>($P$114) * (40)</f>
        <v>0</v>
      </c>
      <c r="AO114">
        <f>($Q$114) * (40)</f>
        <v>0</v>
      </c>
      <c r="AP114">
        <f>($R$114) * (275)</f>
        <v>0</v>
      </c>
      <c r="AQ114">
        <f>($S$114) * (90)</f>
        <v>0</v>
      </c>
      <c r="AR114">
        <f>($T$114) * (90)</f>
        <v>0</v>
      </c>
      <c r="AS114">
        <f>($U$114) * (325)</f>
        <v>0</v>
      </c>
      <c r="AT114">
        <f>($V$114) * (140)</f>
        <v>0</v>
      </c>
      <c r="AU114">
        <f>($W$114) * (140)</f>
        <v>0</v>
      </c>
      <c r="AV114">
        <f>($X$114) * (375)</f>
        <v>0</v>
      </c>
      <c r="AW114">
        <f>($Y$114) * (190)</f>
        <v>0</v>
      </c>
      <c r="AX114">
        <f>($Z$114) * (425)</f>
        <v>0</v>
      </c>
      <c r="AY114">
        <f>($AA$114) * (240)</f>
        <v>0</v>
      </c>
      <c r="AZ114">
        <f>($AB$114) * (475)</f>
        <v>0</v>
      </c>
      <c r="BA114">
        <f>($AC$114) * (290)</f>
        <v>0</v>
      </c>
      <c r="BB114">
        <f>($AD$114) * (525)</f>
        <v>0</v>
      </c>
      <c r="BC114">
        <f>($AE$114) * (575)</f>
        <v>0</v>
      </c>
      <c r="BO114">
        <v>1</v>
      </c>
      <c r="BP114">
        <f>SUM($N$114:$U$114)</f>
        <v>0</v>
      </c>
    </row>
    <row r="115" spans="1:68" x14ac:dyDescent="0.25">
      <c r="A115">
        <v>104</v>
      </c>
      <c r="B115">
        <v>1</v>
      </c>
      <c r="C115">
        <v>2300</v>
      </c>
      <c r="D115">
        <v>4</v>
      </c>
      <c r="E115">
        <v>9</v>
      </c>
      <c r="F115" t="s">
        <v>8</v>
      </c>
      <c r="G115">
        <v>3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f>($H$115) * (225)</f>
        <v>0</v>
      </c>
      <c r="AG115">
        <f>($I$115) * (40)</f>
        <v>0</v>
      </c>
      <c r="AH115">
        <f>($J$115) * (40)</f>
        <v>0</v>
      </c>
      <c r="AI115">
        <f>($K$115) * (225)</f>
        <v>0</v>
      </c>
      <c r="AJ115">
        <f>($L$115) * (40)</f>
        <v>0</v>
      </c>
      <c r="AK115">
        <f>($M$115) * (40)</f>
        <v>0</v>
      </c>
      <c r="AL115">
        <f>($N$115) * (225)</f>
        <v>0</v>
      </c>
      <c r="AM115">
        <f>($O$115) * (225)</f>
        <v>0</v>
      </c>
      <c r="AN115">
        <f>($P$115) * (40)</f>
        <v>0</v>
      </c>
      <c r="AO115">
        <f>($Q$115) * (40)</f>
        <v>0</v>
      </c>
      <c r="AP115">
        <f>($R$115) * (225)</f>
        <v>0</v>
      </c>
      <c r="AQ115">
        <f>($S$115) * (40)</f>
        <v>0</v>
      </c>
      <c r="AR115">
        <f>($T$115) * (40)</f>
        <v>0</v>
      </c>
      <c r="AS115">
        <f>($U$115) * (225)</f>
        <v>0</v>
      </c>
      <c r="AT115">
        <f>($V$115) * (40)</f>
        <v>0</v>
      </c>
      <c r="AU115">
        <f>($W$115) * (40)</f>
        <v>0</v>
      </c>
      <c r="AV115">
        <f>($X$115) * (275)</f>
        <v>0</v>
      </c>
      <c r="AW115">
        <f>($Y$115) * (90)</f>
        <v>0</v>
      </c>
      <c r="AX115">
        <f>($Z$115) * (325)</f>
        <v>0</v>
      </c>
      <c r="AY115">
        <f>($AA$115) * (140)</f>
        <v>0</v>
      </c>
      <c r="AZ115">
        <f>($AB$115) * (375)</f>
        <v>0</v>
      </c>
      <c r="BA115">
        <f>($AC$115) * (190)</f>
        <v>0</v>
      </c>
      <c r="BB115">
        <f>($AD$115) * (425)</f>
        <v>0</v>
      </c>
      <c r="BC115">
        <f>($AE$115) * (475)</f>
        <v>0</v>
      </c>
      <c r="BO115">
        <v>1</v>
      </c>
      <c r="BP115">
        <f>SUM($R$115:$AB$115)</f>
        <v>0</v>
      </c>
    </row>
    <row r="116" spans="1:68" x14ac:dyDescent="0.25">
      <c r="A116">
        <v>114</v>
      </c>
      <c r="B116">
        <v>2</v>
      </c>
      <c r="C116">
        <v>10305</v>
      </c>
      <c r="D116">
        <v>4</v>
      </c>
      <c r="E116">
        <v>7</v>
      </c>
      <c r="F116" t="s">
        <v>8</v>
      </c>
      <c r="G116">
        <v>4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f>($H$116) * (225)</f>
        <v>0</v>
      </c>
      <c r="AG116">
        <f>($I$116) * (80)</f>
        <v>0</v>
      </c>
      <c r="AH116">
        <f>($J$116) * (80)</f>
        <v>0</v>
      </c>
      <c r="AI116">
        <f>($K$116) * (225)</f>
        <v>0</v>
      </c>
      <c r="AJ116">
        <f>($L$116) * (80)</f>
        <v>0</v>
      </c>
      <c r="AK116">
        <f>($M$116) * (80)</f>
        <v>0</v>
      </c>
      <c r="AL116">
        <f>($N$116) * (225)</f>
        <v>0</v>
      </c>
      <c r="AM116">
        <f>($O$116) * (225)</f>
        <v>0</v>
      </c>
      <c r="AN116">
        <f>($P$116) * (80)</f>
        <v>0</v>
      </c>
      <c r="AO116">
        <f>($Q$116) * (80)</f>
        <v>0</v>
      </c>
      <c r="AP116">
        <f>($R$116) * (225)</f>
        <v>0</v>
      </c>
      <c r="AQ116">
        <f>($S$116) * (80)</f>
        <v>0</v>
      </c>
      <c r="AR116">
        <f>($T$116) * (80)</f>
        <v>0</v>
      </c>
      <c r="AS116">
        <f>($U$116) * (225)</f>
        <v>0</v>
      </c>
      <c r="AT116">
        <f>($V$116) * (80)</f>
        <v>0</v>
      </c>
      <c r="AU116">
        <f>($W$116) * (80)</f>
        <v>0</v>
      </c>
      <c r="AV116">
        <f>($X$116) * (225)</f>
        <v>0</v>
      </c>
      <c r="AW116">
        <f>($Y$116) * (80)</f>
        <v>0</v>
      </c>
      <c r="AX116">
        <f>($Z$116) * (295)</f>
        <v>0</v>
      </c>
      <c r="AY116">
        <f>($AA$116) * (150)</f>
        <v>0</v>
      </c>
      <c r="AZ116">
        <f>($AB$116) * (365)</f>
        <v>0</v>
      </c>
      <c r="BA116">
        <f>($AC$116) * (220)</f>
        <v>0</v>
      </c>
      <c r="BB116">
        <f>($AD$116) * (435)</f>
        <v>0</v>
      </c>
      <c r="BC116">
        <f>($AE$116) * (505)</f>
        <v>0</v>
      </c>
      <c r="BO116">
        <v>1</v>
      </c>
      <c r="BP116">
        <f>SUM($R$116:$X$116)</f>
        <v>0</v>
      </c>
    </row>
    <row r="117" spans="1:68" x14ac:dyDescent="0.25">
      <c r="A117">
        <v>152</v>
      </c>
      <c r="B117">
        <v>2</v>
      </c>
      <c r="C117">
        <v>4200</v>
      </c>
      <c r="D117">
        <v>1</v>
      </c>
      <c r="E117">
        <v>5</v>
      </c>
      <c r="F117" t="s">
        <v>8</v>
      </c>
      <c r="G117">
        <v>4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f>($H$117) * (225)</f>
        <v>0</v>
      </c>
      <c r="AG117">
        <f>($I$117) * (80)</f>
        <v>0</v>
      </c>
      <c r="AH117">
        <f>($J$117) * (80)</f>
        <v>0</v>
      </c>
      <c r="AI117">
        <f>($K$117) * (225)</f>
        <v>0</v>
      </c>
      <c r="AJ117">
        <f>($L$117) * (80)</f>
        <v>0</v>
      </c>
      <c r="AK117">
        <f>($M$117) * (80)</f>
        <v>0</v>
      </c>
      <c r="AL117">
        <f>($N$117) * (225)</f>
        <v>0</v>
      </c>
      <c r="AM117">
        <f>($O$117) * (225)</f>
        <v>0</v>
      </c>
      <c r="AN117">
        <f>($P$117) * (80)</f>
        <v>0</v>
      </c>
      <c r="AO117">
        <f>($Q$117) * (80)</f>
        <v>0</v>
      </c>
      <c r="AP117">
        <f>($R$117) * (295)</f>
        <v>0</v>
      </c>
      <c r="AQ117">
        <f>($S$117) * (150)</f>
        <v>0</v>
      </c>
      <c r="AR117">
        <f>($T$117) * (150)</f>
        <v>0</v>
      </c>
      <c r="AS117">
        <f>($U$117) * (365)</f>
        <v>0</v>
      </c>
      <c r="AT117">
        <f>($V$117) * (220)</f>
        <v>0</v>
      </c>
      <c r="AU117">
        <f>($W$117) * (220)</f>
        <v>0</v>
      </c>
      <c r="AV117">
        <f>($X$117) * (435)</f>
        <v>0</v>
      </c>
      <c r="AW117">
        <f>($Y$117) * (290)</f>
        <v>0</v>
      </c>
      <c r="AX117">
        <f>($Z$117) * (505)</f>
        <v>0</v>
      </c>
      <c r="AY117">
        <f>($AA$117) * (360)</f>
        <v>0</v>
      </c>
      <c r="AZ117">
        <f>($AB$117) * (575)</f>
        <v>0</v>
      </c>
      <c r="BA117">
        <f>($AC$117) * (430)</f>
        <v>0</v>
      </c>
      <c r="BB117">
        <f>($AD$117) * (645)</f>
        <v>0</v>
      </c>
      <c r="BC117">
        <f>($AE$117) * (715)</f>
        <v>0</v>
      </c>
      <c r="BO117">
        <v>1</v>
      </c>
      <c r="BP117">
        <f>SUM($K$117:$R$117)</f>
        <v>0</v>
      </c>
    </row>
    <row r="118" spans="1:68" x14ac:dyDescent="0.25">
      <c r="A118">
        <v>171</v>
      </c>
      <c r="B118">
        <v>2</v>
      </c>
      <c r="C118">
        <v>32111</v>
      </c>
      <c r="D118">
        <v>3</v>
      </c>
      <c r="E118">
        <v>8</v>
      </c>
      <c r="F118" t="s">
        <v>8</v>
      </c>
      <c r="G118">
        <v>3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f>($H$118) * (225)</f>
        <v>0</v>
      </c>
      <c r="AG118">
        <f>($I$118) * (80)</f>
        <v>0</v>
      </c>
      <c r="AH118">
        <f>($J$118) * (80)</f>
        <v>0</v>
      </c>
      <c r="AI118">
        <f>($K$118) * (225)</f>
        <v>0</v>
      </c>
      <c r="AJ118">
        <f>($L$118) * (80)</f>
        <v>0</v>
      </c>
      <c r="AK118">
        <f>($M$118) * (80)</f>
        <v>0</v>
      </c>
      <c r="AL118">
        <f>($N$118) * (225)</f>
        <v>0</v>
      </c>
      <c r="AM118">
        <f>($O$118) * (225)</f>
        <v>0</v>
      </c>
      <c r="AN118">
        <f>($P$118) * (80)</f>
        <v>0</v>
      </c>
      <c r="AO118">
        <f>($Q$118) * (80)</f>
        <v>0</v>
      </c>
      <c r="AP118">
        <f>($R$118) * (225)</f>
        <v>0</v>
      </c>
      <c r="AQ118">
        <f>($S$118) * (80)</f>
        <v>0</v>
      </c>
      <c r="AR118">
        <f>($T$118) * (80)</f>
        <v>0</v>
      </c>
      <c r="AS118">
        <f>($U$118) * (295)</f>
        <v>0</v>
      </c>
      <c r="AT118">
        <f>($V$118) * (150)</f>
        <v>0</v>
      </c>
      <c r="AU118">
        <f>($W$118) * (150)</f>
        <v>0</v>
      </c>
      <c r="AV118">
        <f>($X$118) * (365)</f>
        <v>0</v>
      </c>
      <c r="AW118">
        <f>($Y$118) * (220)</f>
        <v>0</v>
      </c>
      <c r="AX118">
        <f>($Z$118) * (435)</f>
        <v>0</v>
      </c>
      <c r="AY118">
        <f>($AA$118) * (290)</f>
        <v>0</v>
      </c>
      <c r="AZ118">
        <f>($AB$118) * (505)</f>
        <v>0</v>
      </c>
      <c r="BA118">
        <f>($AC$118) * (360)</f>
        <v>0</v>
      </c>
      <c r="BB118">
        <f>($AD$118) * (575)</f>
        <v>0</v>
      </c>
      <c r="BC118">
        <f>($AE$118) * (645)</f>
        <v>0</v>
      </c>
      <c r="BO118">
        <v>1</v>
      </c>
      <c r="BP118">
        <f>SUM($O$118:$Z$118)</f>
        <v>0</v>
      </c>
    </row>
    <row r="119" spans="1:68" x14ac:dyDescent="0.25">
      <c r="A119">
        <v>176</v>
      </c>
      <c r="B119">
        <v>1</v>
      </c>
      <c r="C119">
        <v>18890</v>
      </c>
      <c r="D119">
        <v>0</v>
      </c>
      <c r="E119">
        <v>4</v>
      </c>
      <c r="F119" t="s">
        <v>8</v>
      </c>
      <c r="G119">
        <v>3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f>($H$119) * (225)</f>
        <v>0</v>
      </c>
      <c r="AG119">
        <f>($I$119) * (40)</f>
        <v>0</v>
      </c>
      <c r="AH119">
        <f>($J$119) * (40)</f>
        <v>0</v>
      </c>
      <c r="AI119">
        <f>($K$119) * (225)</f>
        <v>0</v>
      </c>
      <c r="AJ119">
        <f>($L$119) * (40)</f>
        <v>0</v>
      </c>
      <c r="AK119">
        <f>($M$119) * (40)</f>
        <v>0</v>
      </c>
      <c r="AL119">
        <f>($N$119) * (275)</f>
        <v>0</v>
      </c>
      <c r="AM119">
        <f>($O$119) * (325)</f>
        <v>0</v>
      </c>
      <c r="AN119">
        <f>($P$119) * (140)</f>
        <v>0</v>
      </c>
      <c r="AO119">
        <f>($Q$119) * (140)</f>
        <v>0</v>
      </c>
      <c r="AP119">
        <f>($R$119) * (375)</f>
        <v>0</v>
      </c>
      <c r="AQ119">
        <f>($S$119) * (190)</f>
        <v>0</v>
      </c>
      <c r="AR119">
        <f>($T$119) * (190)</f>
        <v>0</v>
      </c>
      <c r="AS119">
        <f>($U$119) * (425)</f>
        <v>0</v>
      </c>
      <c r="AT119">
        <f>($V$119) * (240)</f>
        <v>0</v>
      </c>
      <c r="AU119">
        <f>($W$119) * (240)</f>
        <v>0</v>
      </c>
      <c r="AV119">
        <f>($X$119) * (475)</f>
        <v>0</v>
      </c>
      <c r="AW119">
        <f>($Y$119) * (290)</f>
        <v>0</v>
      </c>
      <c r="AX119">
        <f>($Z$119) * (525)</f>
        <v>0</v>
      </c>
      <c r="AY119">
        <f>($AA$119) * (340)</f>
        <v>0</v>
      </c>
      <c r="AZ119">
        <f>($AB$119) * (575)</f>
        <v>0</v>
      </c>
      <c r="BA119">
        <f>($AC$119) * (390)</f>
        <v>0</v>
      </c>
      <c r="BB119">
        <f>($AD$119) * (625)</f>
        <v>0</v>
      </c>
      <c r="BC119">
        <f>($AE$119) * (675)</f>
        <v>0</v>
      </c>
      <c r="BO119">
        <v>1</v>
      </c>
      <c r="BP119">
        <f>SUM($H$119:$O$119)</f>
        <v>0</v>
      </c>
    </row>
    <row r="120" spans="1:68" x14ac:dyDescent="0.25">
      <c r="A120">
        <v>187</v>
      </c>
      <c r="B120">
        <v>2</v>
      </c>
      <c r="C120">
        <v>24200</v>
      </c>
      <c r="D120">
        <v>6</v>
      </c>
      <c r="E120">
        <v>9</v>
      </c>
      <c r="F120" t="s">
        <v>8</v>
      </c>
      <c r="G120">
        <v>3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f>($H$120) * (225)</f>
        <v>0</v>
      </c>
      <c r="AG120">
        <f>($I$120) * (80)</f>
        <v>0</v>
      </c>
      <c r="AH120">
        <f>($J$120) * (80)</f>
        <v>0</v>
      </c>
      <c r="AI120">
        <f>($K$120) * (225)</f>
        <v>0</v>
      </c>
      <c r="AJ120">
        <f>($L$120) * (80)</f>
        <v>0</v>
      </c>
      <c r="AK120">
        <f>($M$120) * (80)</f>
        <v>0</v>
      </c>
      <c r="AL120">
        <f>($N$120) * (225)</f>
        <v>0</v>
      </c>
      <c r="AM120">
        <f>($O$120) * (225)</f>
        <v>0</v>
      </c>
      <c r="AN120">
        <f>($P$120) * (80)</f>
        <v>0</v>
      </c>
      <c r="AO120">
        <f>($Q$120) * (80)</f>
        <v>0</v>
      </c>
      <c r="AP120">
        <f>($R$120) * (225)</f>
        <v>0</v>
      </c>
      <c r="AQ120">
        <f>($S$120) * (80)</f>
        <v>0</v>
      </c>
      <c r="AR120">
        <f>($T$120) * (80)</f>
        <v>0</v>
      </c>
      <c r="AS120">
        <f>($U$120) * (225)</f>
        <v>0</v>
      </c>
      <c r="AT120">
        <f>($V$120) * (80)</f>
        <v>0</v>
      </c>
      <c r="AU120">
        <f>($W$120) * (80)</f>
        <v>0</v>
      </c>
      <c r="AV120">
        <f>($X$120) * (225)</f>
        <v>0</v>
      </c>
      <c r="AW120">
        <f>($Y$120) * (80)</f>
        <v>0</v>
      </c>
      <c r="AX120">
        <f>($Z$120) * (225)</f>
        <v>0</v>
      </c>
      <c r="AY120">
        <f>($AA$120) * (80)</f>
        <v>0</v>
      </c>
      <c r="AZ120">
        <f>($AB$120) * (295)</f>
        <v>0</v>
      </c>
      <c r="BA120">
        <f>($AC$120) * (150)</f>
        <v>0</v>
      </c>
      <c r="BB120">
        <f>($AD$120) * (365)</f>
        <v>0</v>
      </c>
      <c r="BC120">
        <f>($AE$120) * (435)</f>
        <v>0</v>
      </c>
      <c r="BO120">
        <v>1</v>
      </c>
      <c r="BP120">
        <f>SUM($X$120:$AB$120)</f>
        <v>0</v>
      </c>
    </row>
    <row r="121" spans="1:68" x14ac:dyDescent="0.25">
      <c r="A121">
        <v>213</v>
      </c>
      <c r="B121">
        <v>1</v>
      </c>
      <c r="C121">
        <v>23440</v>
      </c>
      <c r="D121">
        <v>2</v>
      </c>
      <c r="E121">
        <v>6</v>
      </c>
      <c r="F121" t="s">
        <v>8</v>
      </c>
      <c r="G121">
        <v>4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f>($H$121) * (225)</f>
        <v>0</v>
      </c>
      <c r="AG121">
        <f>($I$121) * (40)</f>
        <v>0</v>
      </c>
      <c r="AH121">
        <f>($J$121) * (40)</f>
        <v>0</v>
      </c>
      <c r="AI121">
        <f>($K$121) * (225)</f>
        <v>0</v>
      </c>
      <c r="AJ121">
        <f>($L$121) * (40)</f>
        <v>0</v>
      </c>
      <c r="AK121">
        <f>($M$121) * (40)</f>
        <v>0</v>
      </c>
      <c r="AL121">
        <f>($N$121) * (225)</f>
        <v>0</v>
      </c>
      <c r="AM121">
        <f>($O$121) * (225)</f>
        <v>0</v>
      </c>
      <c r="AN121">
        <f>($P$121) * (40)</f>
        <v>0</v>
      </c>
      <c r="AO121">
        <f>($Q$121) * (40)</f>
        <v>0</v>
      </c>
      <c r="AP121">
        <f>($R$121) * (225)</f>
        <v>0</v>
      </c>
      <c r="AQ121">
        <f>($S$121) * (40)</f>
        <v>0</v>
      </c>
      <c r="AR121">
        <f>($T$121) * (40)</f>
        <v>0</v>
      </c>
      <c r="AS121">
        <f>($U$121) * (275)</f>
        <v>0</v>
      </c>
      <c r="AT121">
        <f>($V$121) * (90)</f>
        <v>0</v>
      </c>
      <c r="AU121">
        <f>($W$121) * (90)</f>
        <v>0</v>
      </c>
      <c r="AV121">
        <f>($X$121) * (325)</f>
        <v>0</v>
      </c>
      <c r="AW121">
        <f>($Y$121) * (140)</f>
        <v>0</v>
      </c>
      <c r="AX121">
        <f>($Z$121) * (375)</f>
        <v>0</v>
      </c>
      <c r="AY121">
        <f>($AA$121) * (190)</f>
        <v>0</v>
      </c>
      <c r="AZ121">
        <f>($AB$121) * (425)</f>
        <v>0</v>
      </c>
      <c r="BA121">
        <f>($AC$121) * (240)</f>
        <v>0</v>
      </c>
      <c r="BB121">
        <f>($AD$121) * (475)</f>
        <v>0</v>
      </c>
      <c r="BC121">
        <f>($AE$121) * (525)</f>
        <v>0</v>
      </c>
      <c r="BO121">
        <v>1</v>
      </c>
      <c r="BP121">
        <f>SUM($N$121:$U$121)</f>
        <v>0</v>
      </c>
    </row>
    <row r="122" spans="1:68" x14ac:dyDescent="0.25">
      <c r="A122">
        <v>227</v>
      </c>
      <c r="B122">
        <v>2</v>
      </c>
      <c r="C122">
        <v>20260</v>
      </c>
      <c r="D122">
        <v>0</v>
      </c>
      <c r="E122">
        <v>5</v>
      </c>
      <c r="F122" t="s">
        <v>8</v>
      </c>
      <c r="G122">
        <v>3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f>($H$122) * (225)</f>
        <v>0</v>
      </c>
      <c r="AG122">
        <f>($I$122) * (80)</f>
        <v>0</v>
      </c>
      <c r="AH122">
        <f>($J$122) * (80)</f>
        <v>0</v>
      </c>
      <c r="AI122">
        <f>($K$122) * (225)</f>
        <v>0</v>
      </c>
      <c r="AJ122">
        <f>($L$122) * (80)</f>
        <v>0</v>
      </c>
      <c r="AK122">
        <f>($M$122) * (80)</f>
        <v>0</v>
      </c>
      <c r="AL122">
        <f>($N$122) * (295)</f>
        <v>0</v>
      </c>
      <c r="AM122">
        <f>($O$122) * (365)</f>
        <v>0</v>
      </c>
      <c r="AN122">
        <f>($P$122) * (220)</f>
        <v>0</v>
      </c>
      <c r="AO122">
        <f>($Q$122) * (220)</f>
        <v>0</v>
      </c>
      <c r="AP122">
        <f>($R$122) * (435)</f>
        <v>0</v>
      </c>
      <c r="AQ122">
        <f>($S$122) * (290)</f>
        <v>0</v>
      </c>
      <c r="AR122">
        <f>($T$122) * (290)</f>
        <v>0</v>
      </c>
      <c r="AS122">
        <f>($U$122) * (505)</f>
        <v>0</v>
      </c>
      <c r="AT122">
        <f>($V$122) * (360)</f>
        <v>0</v>
      </c>
      <c r="AU122">
        <f>($W$122) * (360)</f>
        <v>0</v>
      </c>
      <c r="AV122">
        <f>($X$122) * (575)</f>
        <v>0</v>
      </c>
      <c r="AW122">
        <f>($Y$122) * (430)</f>
        <v>0</v>
      </c>
      <c r="AX122">
        <f>($Z$122) * (645)</f>
        <v>0</v>
      </c>
      <c r="AY122">
        <f>($AA$122) * (500)</f>
        <v>0</v>
      </c>
      <c r="AZ122">
        <f>($AB$122) * (715)</f>
        <v>0</v>
      </c>
      <c r="BA122">
        <f>($AC$122) * (570)</f>
        <v>0</v>
      </c>
      <c r="BB122">
        <f>($AD$122) * (785)</f>
        <v>0</v>
      </c>
      <c r="BC122">
        <f>($AE$122) * (855)</f>
        <v>0</v>
      </c>
      <c r="BO122">
        <v>1</v>
      </c>
      <c r="BP122">
        <f>SUM($H$122:$R$122)</f>
        <v>0</v>
      </c>
    </row>
    <row r="123" spans="1:68" x14ac:dyDescent="0.25">
      <c r="A123">
        <v>233</v>
      </c>
      <c r="B123">
        <v>2</v>
      </c>
      <c r="C123">
        <v>29200</v>
      </c>
      <c r="D123">
        <v>0</v>
      </c>
      <c r="E123">
        <v>3</v>
      </c>
      <c r="F123" t="s">
        <v>8</v>
      </c>
      <c r="G123">
        <v>3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f>($H$123) * (225)</f>
        <v>0</v>
      </c>
      <c r="AG123">
        <f>($I$123) * (80)</f>
        <v>0</v>
      </c>
      <c r="AH123">
        <f>($J$123) * (80)</f>
        <v>0</v>
      </c>
      <c r="AI123">
        <f>($K$123) * (225)</f>
        <v>0</v>
      </c>
      <c r="AJ123">
        <f>($L$123) * (80)</f>
        <v>0</v>
      </c>
      <c r="AK123">
        <f>($M$123) * (80)</f>
        <v>0</v>
      </c>
      <c r="AL123">
        <f>($N$123) * (295)</f>
        <v>0</v>
      </c>
      <c r="AM123">
        <f>($O$123) * (365)</f>
        <v>0</v>
      </c>
      <c r="AN123">
        <f>($P$123) * (220)</f>
        <v>0</v>
      </c>
      <c r="AO123">
        <f>($Q$123) * (220)</f>
        <v>0</v>
      </c>
      <c r="AP123">
        <f>($R$123) * (435)</f>
        <v>0</v>
      </c>
      <c r="AQ123">
        <f>($S$123) * (290)</f>
        <v>0</v>
      </c>
      <c r="AR123">
        <f>($T$123) * (290)</f>
        <v>0</v>
      </c>
      <c r="AS123">
        <f>($U$123) * (505)</f>
        <v>0</v>
      </c>
      <c r="AT123">
        <f>($V$123) * (360)</f>
        <v>0</v>
      </c>
      <c r="AU123">
        <f>($W$123) * (360)</f>
        <v>0</v>
      </c>
      <c r="AV123">
        <f>($X$123) * (575)</f>
        <v>0</v>
      </c>
      <c r="AW123">
        <f>($Y$123) * (430)</f>
        <v>0</v>
      </c>
      <c r="AX123">
        <f>($Z$123) * (645)</f>
        <v>0</v>
      </c>
      <c r="AY123">
        <f>($AA$123) * (500)</f>
        <v>0</v>
      </c>
      <c r="AZ123">
        <f>($AB$123) * (715)</f>
        <v>0</v>
      </c>
      <c r="BA123">
        <f>($AC$123) * (570)</f>
        <v>0</v>
      </c>
      <c r="BB123">
        <f>($AD$123) * (785)</f>
        <v>0</v>
      </c>
      <c r="BC123">
        <f>($AE$123) * (855)</f>
        <v>0</v>
      </c>
      <c r="BO123">
        <v>1</v>
      </c>
      <c r="BP123">
        <f>SUM($H$123:$N$123)</f>
        <v>0</v>
      </c>
    </row>
    <row r="124" spans="1:68" x14ac:dyDescent="0.25">
      <c r="A124">
        <v>249</v>
      </c>
      <c r="B124">
        <v>2</v>
      </c>
      <c r="C124">
        <v>11885</v>
      </c>
      <c r="D124">
        <v>5</v>
      </c>
      <c r="E124">
        <v>8</v>
      </c>
      <c r="F124" t="s">
        <v>8</v>
      </c>
      <c r="G124">
        <v>2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f>($H$124) * (225)</f>
        <v>0</v>
      </c>
      <c r="AG124">
        <f>($I$124) * (80)</f>
        <v>0</v>
      </c>
      <c r="AH124">
        <f>($J$124) * (80)</f>
        <v>0</v>
      </c>
      <c r="AI124">
        <f>($K$124) * (225)</f>
        <v>0</v>
      </c>
      <c r="AJ124">
        <f>($L$124) * (80)</f>
        <v>0</v>
      </c>
      <c r="AK124">
        <f>($M$124) * (80)</f>
        <v>0</v>
      </c>
      <c r="AL124">
        <f>($N$124) * (225)</f>
        <v>0</v>
      </c>
      <c r="AM124">
        <f>($O$124) * (225)</f>
        <v>0</v>
      </c>
      <c r="AN124">
        <f>($P$124) * (80)</f>
        <v>0</v>
      </c>
      <c r="AO124">
        <f>($Q$124) * (80)</f>
        <v>0</v>
      </c>
      <c r="AP124">
        <f>($R$124) * (225)</f>
        <v>0</v>
      </c>
      <c r="AQ124">
        <f>($S$124) * (80)</f>
        <v>0</v>
      </c>
      <c r="AR124">
        <f>($T$124) * (80)</f>
        <v>0</v>
      </c>
      <c r="AS124">
        <f>($U$124) * (225)</f>
        <v>0</v>
      </c>
      <c r="AT124">
        <f>($V$124) * (80)</f>
        <v>0</v>
      </c>
      <c r="AU124">
        <f>($W$124) * (80)</f>
        <v>0</v>
      </c>
      <c r="AV124">
        <f>($X$124) * (295)</f>
        <v>0</v>
      </c>
      <c r="AW124">
        <f>($Y$124) * (150)</f>
        <v>0</v>
      </c>
      <c r="AX124">
        <f>($Z$124) * (365)</f>
        <v>0</v>
      </c>
      <c r="AY124">
        <f>($AA$124) * (220)</f>
        <v>0</v>
      </c>
      <c r="AZ124">
        <f>($AB$124) * (435)</f>
        <v>0</v>
      </c>
      <c r="BA124">
        <f>($AC$124) * (290)</f>
        <v>0</v>
      </c>
      <c r="BB124">
        <f>($AD$124) * (505)</f>
        <v>0</v>
      </c>
      <c r="BC124">
        <f>($AE$124) * (575)</f>
        <v>0</v>
      </c>
      <c r="BO124">
        <v>1</v>
      </c>
      <c r="BP124">
        <f>SUM($U$124:$Z$124)</f>
        <v>0</v>
      </c>
    </row>
    <row r="125" spans="1:68" x14ac:dyDescent="0.25">
      <c r="A125">
        <v>254</v>
      </c>
      <c r="B125">
        <v>2</v>
      </c>
      <c r="C125">
        <v>9200</v>
      </c>
      <c r="D125">
        <v>2</v>
      </c>
      <c r="E125">
        <v>5</v>
      </c>
      <c r="F125" t="s">
        <v>8</v>
      </c>
      <c r="G125">
        <v>4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f>($H$125) * (225)</f>
        <v>0</v>
      </c>
      <c r="AG125">
        <f>($I$125) * (80)</f>
        <v>0</v>
      </c>
      <c r="AH125">
        <f>($J$125) * (80)</f>
        <v>0</v>
      </c>
      <c r="AI125">
        <f>($K$125) * (225)</f>
        <v>0</v>
      </c>
      <c r="AJ125">
        <f>($L$125) * (80)</f>
        <v>0</v>
      </c>
      <c r="AK125">
        <f>($M$125) * (80)</f>
        <v>0</v>
      </c>
      <c r="AL125">
        <f>($N$125) * (225)</f>
        <v>0</v>
      </c>
      <c r="AM125">
        <f>($O$125) * (225)</f>
        <v>0</v>
      </c>
      <c r="AN125">
        <f>($P$125) * (80)</f>
        <v>0</v>
      </c>
      <c r="AO125">
        <f>($Q$125) * (80)</f>
        <v>0</v>
      </c>
      <c r="AP125">
        <f>($R$125) * (225)</f>
        <v>0</v>
      </c>
      <c r="AQ125">
        <f>($S$125) * (80)</f>
        <v>0</v>
      </c>
      <c r="AR125">
        <f>($T$125) * (80)</f>
        <v>0</v>
      </c>
      <c r="AS125">
        <f>($U$125) * (295)</f>
        <v>0</v>
      </c>
      <c r="AT125">
        <f>($V$125) * (150)</f>
        <v>0</v>
      </c>
      <c r="AU125">
        <f>($W$125) * (150)</f>
        <v>0</v>
      </c>
      <c r="AV125">
        <f>($X$125) * (365)</f>
        <v>0</v>
      </c>
      <c r="AW125">
        <f>($Y$125) * (220)</f>
        <v>0</v>
      </c>
      <c r="AX125">
        <f>($Z$125) * (435)</f>
        <v>0</v>
      </c>
      <c r="AY125">
        <f>($AA$125) * (290)</f>
        <v>0</v>
      </c>
      <c r="AZ125">
        <f>($AB$125) * (505)</f>
        <v>0</v>
      </c>
      <c r="BA125">
        <f>($AC$125) * (360)</f>
        <v>0</v>
      </c>
      <c r="BB125">
        <f>($AD$125) * (575)</f>
        <v>0</v>
      </c>
      <c r="BC125">
        <f>($AE$125) * (645)</f>
        <v>0</v>
      </c>
      <c r="BO125">
        <v>1</v>
      </c>
      <c r="BP125">
        <f>SUM($N$125:$R$125)</f>
        <v>0</v>
      </c>
    </row>
    <row r="126" spans="1:68" x14ac:dyDescent="0.25">
      <c r="A126">
        <v>272</v>
      </c>
      <c r="B126">
        <v>2</v>
      </c>
      <c r="C126">
        <v>15400</v>
      </c>
      <c r="D126">
        <v>0</v>
      </c>
      <c r="E126">
        <v>4</v>
      </c>
      <c r="F126" t="s">
        <v>8</v>
      </c>
      <c r="G126">
        <v>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f>($H$126) * (225)</f>
        <v>0</v>
      </c>
      <c r="AG126">
        <f>($I$126) * (80)</f>
        <v>0</v>
      </c>
      <c r="AH126">
        <f>($J$126) * (80)</f>
        <v>0</v>
      </c>
      <c r="AI126">
        <f>($K$126) * (225)</f>
        <v>0</v>
      </c>
      <c r="AJ126">
        <f>($L$126) * (80)</f>
        <v>0</v>
      </c>
      <c r="AK126">
        <f>($M$126) * (80)</f>
        <v>0</v>
      </c>
      <c r="AL126">
        <f>($N$126) * (225)</f>
        <v>0</v>
      </c>
      <c r="AM126">
        <f>($O$126) * (225)</f>
        <v>0</v>
      </c>
      <c r="AN126">
        <f>($P$126) * (80)</f>
        <v>0</v>
      </c>
      <c r="AO126">
        <f>($Q$126) * (80)</f>
        <v>0</v>
      </c>
      <c r="AP126">
        <f>($R$126) * (295)</f>
        <v>0</v>
      </c>
      <c r="AQ126">
        <f>($S$126) * (150)</f>
        <v>0</v>
      </c>
      <c r="AR126">
        <f>($T$126) * (150)</f>
        <v>0</v>
      </c>
      <c r="AS126">
        <f>($U$126) * (365)</f>
        <v>0</v>
      </c>
      <c r="AT126">
        <f>($V$126) * (220)</f>
        <v>0</v>
      </c>
      <c r="AU126">
        <f>($W$126) * (220)</f>
        <v>0</v>
      </c>
      <c r="AV126">
        <f>($X$126) * (435)</f>
        <v>0</v>
      </c>
      <c r="AW126">
        <f>($Y$126) * (290)</f>
        <v>0</v>
      </c>
      <c r="AX126">
        <f>($Z$126) * (505)</f>
        <v>0</v>
      </c>
      <c r="AY126">
        <f>($AA$126) * (360)</f>
        <v>0</v>
      </c>
      <c r="AZ126">
        <f>($AB$126) * (575)</f>
        <v>0</v>
      </c>
      <c r="BA126">
        <f>($AC$126) * (430)</f>
        <v>0</v>
      </c>
      <c r="BB126">
        <f>($AD$126) * (645)</f>
        <v>0</v>
      </c>
      <c r="BC126">
        <f>($AE$126) * (715)</f>
        <v>0</v>
      </c>
      <c r="BO126">
        <v>1</v>
      </c>
      <c r="BP126">
        <f>SUM($H$126:$O$126)</f>
        <v>0</v>
      </c>
    </row>
    <row r="127" spans="1:68" x14ac:dyDescent="0.25">
      <c r="A127">
        <v>295</v>
      </c>
      <c r="B127">
        <v>2</v>
      </c>
      <c r="C127">
        <v>11782</v>
      </c>
      <c r="D127">
        <v>0</v>
      </c>
      <c r="E127">
        <v>5</v>
      </c>
      <c r="F127" t="s">
        <v>8</v>
      </c>
      <c r="G127">
        <v>4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f>($H$127) * (225)</f>
        <v>0</v>
      </c>
      <c r="AG127">
        <f>($I$127) * (80)</f>
        <v>0</v>
      </c>
      <c r="AH127">
        <f>($J$127) * (80)</f>
        <v>0</v>
      </c>
      <c r="AI127">
        <f>($K$127) * (225)</f>
        <v>0</v>
      </c>
      <c r="AJ127">
        <f>($L$127) * (80)</f>
        <v>0</v>
      </c>
      <c r="AK127">
        <f>($M$127) * (80)</f>
        <v>0</v>
      </c>
      <c r="AL127">
        <f>($N$127) * (225)</f>
        <v>0</v>
      </c>
      <c r="AM127">
        <f>($O$127) * (295)</f>
        <v>0</v>
      </c>
      <c r="AN127">
        <f>($P$127) * (150)</f>
        <v>0</v>
      </c>
      <c r="AO127">
        <f>($Q$127) * (150)</f>
        <v>0</v>
      </c>
      <c r="AP127">
        <f>($R$127) * (365)</f>
        <v>0</v>
      </c>
      <c r="AQ127">
        <f>($S$127) * (220)</f>
        <v>0</v>
      </c>
      <c r="AR127">
        <f>($T$127) * (220)</f>
        <v>0</v>
      </c>
      <c r="AS127">
        <f>($U$127) * (435)</f>
        <v>0</v>
      </c>
      <c r="AT127">
        <f>($V$127) * (290)</f>
        <v>0</v>
      </c>
      <c r="AU127">
        <f>($W$127) * (290)</f>
        <v>0</v>
      </c>
      <c r="AV127">
        <f>($X$127) * (505)</f>
        <v>0</v>
      </c>
      <c r="AW127">
        <f>($Y$127) * (360)</f>
        <v>0</v>
      </c>
      <c r="AX127">
        <f>($Z$127) * (575)</f>
        <v>0</v>
      </c>
      <c r="AY127">
        <f>($AA$127) * (430)</f>
        <v>0</v>
      </c>
      <c r="AZ127">
        <f>($AB$127) * (645)</f>
        <v>0</v>
      </c>
      <c r="BA127">
        <f>($AC$127) * (500)</f>
        <v>0</v>
      </c>
      <c r="BB127">
        <f>($AD$127) * (715)</f>
        <v>0</v>
      </c>
      <c r="BC127">
        <f>($AE$127) * (785)</f>
        <v>0</v>
      </c>
      <c r="BO127">
        <v>1</v>
      </c>
      <c r="BP127">
        <f>SUM($H$127:$R$127)</f>
        <v>0</v>
      </c>
    </row>
    <row r="128" spans="1:68" x14ac:dyDescent="0.25">
      <c r="A128">
        <v>12</v>
      </c>
      <c r="B128">
        <v>2</v>
      </c>
      <c r="C128">
        <v>7849</v>
      </c>
      <c r="D128">
        <v>4</v>
      </c>
      <c r="E128">
        <v>9</v>
      </c>
      <c r="F128" t="s">
        <v>11</v>
      </c>
      <c r="G128">
        <v>3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f>($H$128) * (225)</f>
        <v>0</v>
      </c>
      <c r="AG128">
        <f>($I$128) * (80)</f>
        <v>0</v>
      </c>
      <c r="AH128">
        <f>($J$128) * (80)</f>
        <v>0</v>
      </c>
      <c r="AI128">
        <f>($K$128) * (225)</f>
        <v>0</v>
      </c>
      <c r="AJ128">
        <f>($L$128) * (80)</f>
        <v>0</v>
      </c>
      <c r="AK128">
        <f>($M$128) * (80)</f>
        <v>0</v>
      </c>
      <c r="AL128">
        <f>($N$128) * (225)</f>
        <v>0</v>
      </c>
      <c r="AM128">
        <f>($O$128) * (225)</f>
        <v>0</v>
      </c>
      <c r="AN128">
        <f>($P$128) * (80)</f>
        <v>0</v>
      </c>
      <c r="AO128">
        <f>($Q$128) * (80)</f>
        <v>0</v>
      </c>
      <c r="AP128">
        <f>($R$128) * (225)</f>
        <v>0</v>
      </c>
      <c r="AQ128">
        <f>($S$128) * (80)</f>
        <v>0</v>
      </c>
      <c r="AR128">
        <f>($T$128) * (80)</f>
        <v>0</v>
      </c>
      <c r="AS128">
        <f>($U$128) * (225)</f>
        <v>0</v>
      </c>
      <c r="AT128">
        <f>($V$128) * (80)</f>
        <v>0</v>
      </c>
      <c r="AU128">
        <f>($W$128) * (80)</f>
        <v>0</v>
      </c>
      <c r="AV128">
        <f>($X$128) * (295)</f>
        <v>0</v>
      </c>
      <c r="AW128">
        <f>($Y$128) * (150)</f>
        <v>0</v>
      </c>
      <c r="AX128">
        <f>($Z$128) * (365)</f>
        <v>0</v>
      </c>
      <c r="AY128">
        <f>($AA$128) * (220)</f>
        <v>0</v>
      </c>
      <c r="AZ128">
        <f>($AB$128) * (435)</f>
        <v>0</v>
      </c>
      <c r="BA128">
        <f>($AC$128) * (290)</f>
        <v>0</v>
      </c>
      <c r="BB128">
        <f>($AD$128) * (505)</f>
        <v>0</v>
      </c>
      <c r="BC128">
        <f>($AE$128) * (575)</f>
        <v>0</v>
      </c>
      <c r="BO128">
        <v>1</v>
      </c>
      <c r="BP128">
        <f>SUM($R$128:$AB$128)</f>
        <v>0</v>
      </c>
    </row>
    <row r="129" spans="1:68" x14ac:dyDescent="0.25">
      <c r="A129">
        <v>14</v>
      </c>
      <c r="B129">
        <v>2</v>
      </c>
      <c r="C129">
        <v>20655</v>
      </c>
      <c r="D129">
        <v>-1</v>
      </c>
      <c r="E129">
        <v>2</v>
      </c>
      <c r="F129" t="s">
        <v>11</v>
      </c>
      <c r="G129">
        <v>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f>($H$129) * (225)</f>
        <v>0</v>
      </c>
      <c r="AG129">
        <f>($I$129) * (80)</f>
        <v>0</v>
      </c>
      <c r="AH129">
        <f>($J$129) * (80)</f>
        <v>0</v>
      </c>
      <c r="AI129">
        <f>($K$129) * (225)</f>
        <v>0</v>
      </c>
      <c r="AJ129">
        <f>($L$129) * (80)</f>
        <v>0</v>
      </c>
      <c r="AK129">
        <f>($M$129) * (80)</f>
        <v>0</v>
      </c>
      <c r="AL129">
        <f>($N$129) * (295)</f>
        <v>0</v>
      </c>
      <c r="AM129">
        <f>($O$129) * (365)</f>
        <v>0</v>
      </c>
      <c r="AN129">
        <f>($P$129) * (220)</f>
        <v>0</v>
      </c>
      <c r="AO129">
        <f>($Q$129) * (220)</f>
        <v>0</v>
      </c>
      <c r="AP129">
        <f>($R$129) * (435)</f>
        <v>0</v>
      </c>
      <c r="AQ129">
        <f>($S$129) * (290)</f>
        <v>0</v>
      </c>
      <c r="AR129">
        <f>($T$129) * (290)</f>
        <v>0</v>
      </c>
      <c r="AS129">
        <f>($U$129) * (505)</f>
        <v>0</v>
      </c>
      <c r="AT129">
        <f>($V$129) * (360)</f>
        <v>0</v>
      </c>
      <c r="AU129">
        <f>($W$129) * (360)</f>
        <v>0</v>
      </c>
      <c r="AV129">
        <f>($X$129) * (575)</f>
        <v>0</v>
      </c>
      <c r="AW129">
        <f>($Y$129) * (430)</f>
        <v>0</v>
      </c>
      <c r="AX129">
        <f>($Z$129) * (645)</f>
        <v>0</v>
      </c>
      <c r="AY129">
        <f>($AA$129) * (500)</f>
        <v>0</v>
      </c>
      <c r="AZ129">
        <f>($AB$129) * (715)</f>
        <v>0</v>
      </c>
      <c r="BA129">
        <f>($AC$129) * (570)</f>
        <v>0</v>
      </c>
      <c r="BB129">
        <f>($AD$129) * (785)</f>
        <v>0</v>
      </c>
      <c r="BC129">
        <f>($AE$129) * (855)</f>
        <v>0</v>
      </c>
      <c r="BO129">
        <v>1</v>
      </c>
      <c r="BP129">
        <f>SUM($H$129:$K$129)</f>
        <v>0</v>
      </c>
    </row>
    <row r="130" spans="1:68" x14ac:dyDescent="0.25">
      <c r="A130">
        <v>69</v>
      </c>
      <c r="B130">
        <v>2</v>
      </c>
      <c r="C130">
        <v>11400</v>
      </c>
      <c r="D130">
        <v>4</v>
      </c>
      <c r="E130">
        <v>9</v>
      </c>
      <c r="F130" t="s">
        <v>11</v>
      </c>
      <c r="G130">
        <v>4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f>($H$130) * (225)</f>
        <v>0</v>
      </c>
      <c r="AG130">
        <f>($I$130) * (80)</f>
        <v>0</v>
      </c>
      <c r="AH130">
        <f>($J$130) * (80)</f>
        <v>0</v>
      </c>
      <c r="AI130">
        <f>($K$130) * (225)</f>
        <v>0</v>
      </c>
      <c r="AJ130">
        <f>($L$130) * (80)</f>
        <v>0</v>
      </c>
      <c r="AK130">
        <f>($M$130) * (80)</f>
        <v>0</v>
      </c>
      <c r="AL130">
        <f>($N$130) * (225)</f>
        <v>0</v>
      </c>
      <c r="AM130">
        <f>($O$130) * (225)</f>
        <v>0</v>
      </c>
      <c r="AN130">
        <f>($P$130) * (80)</f>
        <v>0</v>
      </c>
      <c r="AO130">
        <f>($Q$130) * (80)</f>
        <v>0</v>
      </c>
      <c r="AP130">
        <f>($R$130) * (225)</f>
        <v>0</v>
      </c>
      <c r="AQ130">
        <f>($S$130) * (80)</f>
        <v>0</v>
      </c>
      <c r="AR130">
        <f>($T$130) * (80)</f>
        <v>0</v>
      </c>
      <c r="AS130">
        <f>($U$130) * (225)</f>
        <v>0</v>
      </c>
      <c r="AT130">
        <f>($V$130) * (80)</f>
        <v>0</v>
      </c>
      <c r="AU130">
        <f>($W$130) * (80)</f>
        <v>0</v>
      </c>
      <c r="AV130">
        <f>($X$130) * (225)</f>
        <v>0</v>
      </c>
      <c r="AW130">
        <f>($Y$130) * (80)</f>
        <v>0</v>
      </c>
      <c r="AX130">
        <f>($Z$130) * (295)</f>
        <v>0</v>
      </c>
      <c r="AY130">
        <f>($AA$130) * (150)</f>
        <v>0</v>
      </c>
      <c r="AZ130">
        <f>($AB$130) * (365)</f>
        <v>0</v>
      </c>
      <c r="BA130">
        <f>($AC$130) * (220)</f>
        <v>0</v>
      </c>
      <c r="BB130">
        <f>($AD$130) * (435)</f>
        <v>0</v>
      </c>
      <c r="BC130">
        <f>($AE$130) * (505)</f>
        <v>0</v>
      </c>
      <c r="BO130">
        <v>1</v>
      </c>
      <c r="BP130">
        <f>SUM($R$130:$AB$130)</f>
        <v>0</v>
      </c>
    </row>
    <row r="131" spans="1:68" x14ac:dyDescent="0.25">
      <c r="A131">
        <v>116</v>
      </c>
      <c r="B131">
        <v>2</v>
      </c>
      <c r="C131">
        <v>10305</v>
      </c>
      <c r="D131">
        <v>5</v>
      </c>
      <c r="E131">
        <v>9</v>
      </c>
      <c r="F131" t="s">
        <v>11</v>
      </c>
      <c r="G131">
        <v>4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f>($H$131) * (225)</f>
        <v>0</v>
      </c>
      <c r="AG131">
        <f>($I$131) * (80)</f>
        <v>0</v>
      </c>
      <c r="AH131">
        <f>($J$131) * (80)</f>
        <v>0</v>
      </c>
      <c r="AI131">
        <f>($K$131) * (225)</f>
        <v>0</v>
      </c>
      <c r="AJ131">
        <f>($L$131) * (80)</f>
        <v>0</v>
      </c>
      <c r="AK131">
        <f>($M$131) * (80)</f>
        <v>0</v>
      </c>
      <c r="AL131">
        <f>($N$131) * (225)</f>
        <v>0</v>
      </c>
      <c r="AM131">
        <f>($O$131) * (225)</f>
        <v>0</v>
      </c>
      <c r="AN131">
        <f>($P$131) * (80)</f>
        <v>0</v>
      </c>
      <c r="AO131">
        <f>($Q$131) * (80)</f>
        <v>0</v>
      </c>
      <c r="AP131">
        <f>($R$131) * (225)</f>
        <v>0</v>
      </c>
      <c r="AQ131">
        <f>($S$131) * (80)</f>
        <v>0</v>
      </c>
      <c r="AR131">
        <f>($T$131) * (80)</f>
        <v>0</v>
      </c>
      <c r="AS131">
        <f>($U$131) * (225)</f>
        <v>0</v>
      </c>
      <c r="AT131">
        <f>($V$131) * (80)</f>
        <v>0</v>
      </c>
      <c r="AU131">
        <f>($W$131) * (80)</f>
        <v>0</v>
      </c>
      <c r="AV131">
        <f>($X$131) * (225)</f>
        <v>0</v>
      </c>
      <c r="AW131">
        <f>($Y$131) * (80)</f>
        <v>0</v>
      </c>
      <c r="AX131">
        <f>($Z$131) * (225)</f>
        <v>0</v>
      </c>
      <c r="AY131">
        <f>($AA$131) * (80)</f>
        <v>0</v>
      </c>
      <c r="AZ131">
        <f>($AB$131) * (295)</f>
        <v>0</v>
      </c>
      <c r="BA131">
        <f>($AC$131) * (150)</f>
        <v>0</v>
      </c>
      <c r="BB131">
        <f>($AD$131) * (365)</f>
        <v>0</v>
      </c>
      <c r="BC131">
        <f>($AE$131) * (435)</f>
        <v>0</v>
      </c>
      <c r="BO131">
        <v>1</v>
      </c>
      <c r="BP131">
        <f>SUM($U$131:$AB$131)</f>
        <v>0</v>
      </c>
    </row>
    <row r="132" spans="1:68" x14ac:dyDescent="0.25">
      <c r="A132">
        <v>138</v>
      </c>
      <c r="B132">
        <v>2</v>
      </c>
      <c r="C132">
        <v>6551</v>
      </c>
      <c r="D132">
        <v>0</v>
      </c>
      <c r="E132">
        <v>5</v>
      </c>
      <c r="F132" t="s">
        <v>11</v>
      </c>
      <c r="G132">
        <v>4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f>($H$132) * (225)</f>
        <v>0</v>
      </c>
      <c r="AG132">
        <f>($I$132) * (80)</f>
        <v>0</v>
      </c>
      <c r="AH132">
        <f>($J$132) * (80)</f>
        <v>0</v>
      </c>
      <c r="AI132">
        <f>($K$132) * (225)</f>
        <v>0</v>
      </c>
      <c r="AJ132">
        <f>($L$132) * (80)</f>
        <v>0</v>
      </c>
      <c r="AK132">
        <f>($M$132) * (80)</f>
        <v>0</v>
      </c>
      <c r="AL132">
        <f>($N$132) * (225)</f>
        <v>0</v>
      </c>
      <c r="AM132">
        <f>($O$132) * (295)</f>
        <v>0</v>
      </c>
      <c r="AN132">
        <f>($P$132) * (150)</f>
        <v>0</v>
      </c>
      <c r="AO132">
        <f>($Q$132) * (150)</f>
        <v>0</v>
      </c>
      <c r="AP132">
        <f>($R$132) * (365)</f>
        <v>0</v>
      </c>
      <c r="AQ132">
        <f>($S$132) * (220)</f>
        <v>0</v>
      </c>
      <c r="AR132">
        <f>($T$132) * (220)</f>
        <v>0</v>
      </c>
      <c r="AS132">
        <f>($U$132) * (435)</f>
        <v>0</v>
      </c>
      <c r="AT132">
        <f>($V$132) * (290)</f>
        <v>0</v>
      </c>
      <c r="AU132">
        <f>($W$132) * (290)</f>
        <v>0</v>
      </c>
      <c r="AV132">
        <f>($X$132) * (505)</f>
        <v>0</v>
      </c>
      <c r="AW132">
        <f>($Y$132) * (360)</f>
        <v>0</v>
      </c>
      <c r="AX132">
        <f>($Z$132) * (575)</f>
        <v>0</v>
      </c>
      <c r="AY132">
        <f>($AA$132) * (430)</f>
        <v>0</v>
      </c>
      <c r="AZ132">
        <f>($AB$132) * (645)</f>
        <v>0</v>
      </c>
      <c r="BA132">
        <f>($AC$132) * (500)</f>
        <v>0</v>
      </c>
      <c r="BB132">
        <f>($AD$132) * (715)</f>
        <v>0</v>
      </c>
      <c r="BC132">
        <f>($AE$132) * (785)</f>
        <v>0</v>
      </c>
      <c r="BO132">
        <v>1</v>
      </c>
      <c r="BP132">
        <f>SUM($H$132:$R$132)</f>
        <v>0</v>
      </c>
    </row>
    <row r="133" spans="1:68" x14ac:dyDescent="0.25">
      <c r="A133">
        <v>155</v>
      </c>
      <c r="B133">
        <v>1</v>
      </c>
      <c r="C133">
        <v>27300</v>
      </c>
      <c r="D133">
        <v>5</v>
      </c>
      <c r="E133">
        <v>8</v>
      </c>
      <c r="F133" t="s">
        <v>11</v>
      </c>
      <c r="G133">
        <v>4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f>($H$133) * (225)</f>
        <v>0</v>
      </c>
      <c r="AG133">
        <f>($I$133) * (40)</f>
        <v>0</v>
      </c>
      <c r="AH133">
        <f>($J$133) * (40)</f>
        <v>0</v>
      </c>
      <c r="AI133">
        <f>($K$133) * (225)</f>
        <v>0</v>
      </c>
      <c r="AJ133">
        <f>($L$133) * (40)</f>
        <v>0</v>
      </c>
      <c r="AK133">
        <f>($M$133) * (40)</f>
        <v>0</v>
      </c>
      <c r="AL133">
        <f>($N$133) * (225)</f>
        <v>0</v>
      </c>
      <c r="AM133">
        <f>($O$133) * (225)</f>
        <v>0</v>
      </c>
      <c r="AN133">
        <f>($P$133) * (40)</f>
        <v>0</v>
      </c>
      <c r="AO133">
        <f>($Q$133) * (40)</f>
        <v>0</v>
      </c>
      <c r="AP133">
        <f>($R$133) * (225)</f>
        <v>0</v>
      </c>
      <c r="AQ133">
        <f>($S$133) * (40)</f>
        <v>0</v>
      </c>
      <c r="AR133">
        <f>($T$133) * (40)</f>
        <v>0</v>
      </c>
      <c r="AS133">
        <f>($U$133) * (225)</f>
        <v>0</v>
      </c>
      <c r="AT133">
        <f>($V$133) * (40)</f>
        <v>0</v>
      </c>
      <c r="AU133">
        <f>($W$133) * (40)</f>
        <v>0</v>
      </c>
      <c r="AV133">
        <f>($X$133) * (225)</f>
        <v>0</v>
      </c>
      <c r="AW133">
        <f>($Y$133) * (40)</f>
        <v>0</v>
      </c>
      <c r="AX133">
        <f>($Z$133) * (225)</f>
        <v>0</v>
      </c>
      <c r="AY133">
        <f>($AA$133) * (40)</f>
        <v>0</v>
      </c>
      <c r="AZ133">
        <f>($AB$133) * (275)</f>
        <v>0</v>
      </c>
      <c r="BA133">
        <f>($AC$133) * (90)</f>
        <v>0</v>
      </c>
      <c r="BB133">
        <f>($AD$133) * (325)</f>
        <v>0</v>
      </c>
      <c r="BC133">
        <f>($AE$133) * (375)</f>
        <v>0</v>
      </c>
      <c r="BO133">
        <v>1</v>
      </c>
      <c r="BP133">
        <f>SUM($U$133:$Z$133)</f>
        <v>0</v>
      </c>
    </row>
    <row r="134" spans="1:68" x14ac:dyDescent="0.25">
      <c r="A134">
        <v>163</v>
      </c>
      <c r="B134">
        <v>1</v>
      </c>
      <c r="C134">
        <v>19020</v>
      </c>
      <c r="D134">
        <v>5</v>
      </c>
      <c r="E134">
        <v>10</v>
      </c>
      <c r="F134" t="s">
        <v>11</v>
      </c>
      <c r="G134">
        <v>2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f>($H$134) * (225)</f>
        <v>0</v>
      </c>
      <c r="AG134">
        <f>($I$134) * (40)</f>
        <v>0</v>
      </c>
      <c r="AH134">
        <f>($J$134) * (40)</f>
        <v>0</v>
      </c>
      <c r="AI134">
        <f>($K$134) * (225)</f>
        <v>0</v>
      </c>
      <c r="AJ134">
        <f>($L$134) * (40)</f>
        <v>0</v>
      </c>
      <c r="AK134">
        <f>($M$134) * (40)</f>
        <v>0</v>
      </c>
      <c r="AL134">
        <f>($N$134) * (225)</f>
        <v>0</v>
      </c>
      <c r="AM134">
        <f>($O$134) * (225)</f>
        <v>0</v>
      </c>
      <c r="AN134">
        <f>($P$134) * (40)</f>
        <v>0</v>
      </c>
      <c r="AO134">
        <f>($Q$134) * (40)</f>
        <v>0</v>
      </c>
      <c r="AP134">
        <f>($R$134) * (225)</f>
        <v>0</v>
      </c>
      <c r="AQ134">
        <f>($S$134) * (40)</f>
        <v>0</v>
      </c>
      <c r="AR134">
        <f>($T$134) * (40)</f>
        <v>0</v>
      </c>
      <c r="AS134">
        <f>($U$134) * (225)</f>
        <v>0</v>
      </c>
      <c r="AT134">
        <f>($V$134) * (40)</f>
        <v>0</v>
      </c>
      <c r="AU134">
        <f>($W$134) * (40)</f>
        <v>0</v>
      </c>
      <c r="AV134">
        <f>($X$134) * (275)</f>
        <v>0</v>
      </c>
      <c r="AW134">
        <f>($Y$134) * (90)</f>
        <v>0</v>
      </c>
      <c r="AX134">
        <f>($Z$134) * (325)</f>
        <v>0</v>
      </c>
      <c r="AY134">
        <f>($AA$134) * (140)</f>
        <v>0</v>
      </c>
      <c r="AZ134">
        <f>($AB$134) * (375)</f>
        <v>0</v>
      </c>
      <c r="BA134">
        <f>($AC$134) * (190)</f>
        <v>0</v>
      </c>
      <c r="BB134">
        <f>($AD$134) * (425)</f>
        <v>0</v>
      </c>
      <c r="BC134">
        <f>($AE$134) * (475)</f>
        <v>0</v>
      </c>
      <c r="BO134">
        <v>1</v>
      </c>
      <c r="BP134">
        <f>SUM($U$134:$AD$134)</f>
        <v>0</v>
      </c>
    </row>
    <row r="135" spans="1:68" x14ac:dyDescent="0.25">
      <c r="A135">
        <v>189</v>
      </c>
      <c r="B135">
        <v>2</v>
      </c>
      <c r="C135">
        <v>4200</v>
      </c>
      <c r="D135">
        <v>3</v>
      </c>
      <c r="E135">
        <v>8</v>
      </c>
      <c r="F135" t="s">
        <v>11</v>
      </c>
      <c r="G135">
        <v>6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f>($H$135) * (225)</f>
        <v>0</v>
      </c>
      <c r="AG135">
        <f>($I$135) * (80)</f>
        <v>0</v>
      </c>
      <c r="AH135">
        <f>($J$135) * (80)</f>
        <v>0</v>
      </c>
      <c r="AI135">
        <f>($K$135) * (225)</f>
        <v>0</v>
      </c>
      <c r="AJ135">
        <f>($L$135) * (80)</f>
        <v>0</v>
      </c>
      <c r="AK135">
        <f>($M$135) * (80)</f>
        <v>0</v>
      </c>
      <c r="AL135">
        <f>($N$135) * (225)</f>
        <v>0</v>
      </c>
      <c r="AM135">
        <f>($O$135) * (225)</f>
        <v>0</v>
      </c>
      <c r="AN135">
        <f>($P$135) * (80)</f>
        <v>0</v>
      </c>
      <c r="AO135">
        <f>($Q$135) * (80)</f>
        <v>0</v>
      </c>
      <c r="AP135">
        <f>($R$135) * (225)</f>
        <v>0</v>
      </c>
      <c r="AQ135">
        <f>($S$135) * (80)</f>
        <v>0</v>
      </c>
      <c r="AR135">
        <f>($T$135) * (80)</f>
        <v>0</v>
      </c>
      <c r="AS135">
        <f>($U$135) * (225)</f>
        <v>0</v>
      </c>
      <c r="AT135">
        <f>($V$135) * (80)</f>
        <v>0</v>
      </c>
      <c r="AU135">
        <f>($W$135) * (80)</f>
        <v>0</v>
      </c>
      <c r="AV135">
        <f>($X$135) * (225)</f>
        <v>0</v>
      </c>
      <c r="AW135">
        <f>($Y$135) * (80)</f>
        <v>0</v>
      </c>
      <c r="AX135">
        <f>($Z$135) * (225)</f>
        <v>0</v>
      </c>
      <c r="AY135">
        <f>($AA$135) * (80)</f>
        <v>0</v>
      </c>
      <c r="AZ135">
        <f>($AB$135) * (295)</f>
        <v>0</v>
      </c>
      <c r="BA135">
        <f>($AC$135) * (150)</f>
        <v>0</v>
      </c>
      <c r="BB135">
        <f>($AD$135) * (365)</f>
        <v>0</v>
      </c>
      <c r="BC135">
        <f>($AE$135) * (435)</f>
        <v>0</v>
      </c>
      <c r="BO135">
        <v>1</v>
      </c>
      <c r="BP135">
        <f>SUM($O$135:$Z$135)</f>
        <v>0</v>
      </c>
    </row>
    <row r="136" spans="1:68" x14ac:dyDescent="0.25">
      <c r="A136">
        <v>18</v>
      </c>
      <c r="B136">
        <v>2</v>
      </c>
      <c r="C136">
        <v>18361</v>
      </c>
      <c r="D136">
        <v>6</v>
      </c>
      <c r="E136">
        <v>11</v>
      </c>
      <c r="F136" t="s">
        <v>13</v>
      </c>
      <c r="G136">
        <v>4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f>($H$136) * (225)</f>
        <v>0</v>
      </c>
      <c r="AG136">
        <f>($I$136) * (80)</f>
        <v>0</v>
      </c>
      <c r="AH136">
        <f>($J$136) * (80)</f>
        <v>0</v>
      </c>
      <c r="AI136">
        <f>($K$136) * (225)</f>
        <v>0</v>
      </c>
      <c r="AJ136">
        <f>($L$136) * (80)</f>
        <v>0</v>
      </c>
      <c r="AK136">
        <f>($M$136) * (80)</f>
        <v>0</v>
      </c>
      <c r="AL136">
        <f>($N$136) * (225)</f>
        <v>0</v>
      </c>
      <c r="AM136">
        <f>($O$136) * (225)</f>
        <v>0</v>
      </c>
      <c r="AN136">
        <f>($P$136) * (80)</f>
        <v>0</v>
      </c>
      <c r="AO136">
        <f>($Q$136) * (80)</f>
        <v>0</v>
      </c>
      <c r="AP136">
        <f>($R$136) * (225)</f>
        <v>0</v>
      </c>
      <c r="AQ136">
        <f>($S$136) * (80)</f>
        <v>0</v>
      </c>
      <c r="AR136">
        <f>($T$136) * (80)</f>
        <v>0</v>
      </c>
      <c r="AS136">
        <f>($U$136) * (225)</f>
        <v>0</v>
      </c>
      <c r="AT136">
        <f>($V$136) * (80)</f>
        <v>0</v>
      </c>
      <c r="AU136">
        <f>($W$136) * (80)</f>
        <v>0</v>
      </c>
      <c r="AV136">
        <f>($X$136) * (225)</f>
        <v>0</v>
      </c>
      <c r="AW136">
        <f>($Y$136) * (80)</f>
        <v>0</v>
      </c>
      <c r="AX136">
        <f>($Z$136) * (225)</f>
        <v>0</v>
      </c>
      <c r="AY136">
        <f>($AA$136) * (80)</f>
        <v>0</v>
      </c>
      <c r="AZ136">
        <f>($AB$136) * (225)</f>
        <v>0</v>
      </c>
      <c r="BA136">
        <f>($AC$136) * (80)</f>
        <v>0</v>
      </c>
      <c r="BB136">
        <f>($AD$136) * (295)</f>
        <v>0</v>
      </c>
      <c r="BC136">
        <f>($AE$136) * (365)</f>
        <v>0</v>
      </c>
      <c r="BO136">
        <v>1</v>
      </c>
      <c r="BP136">
        <f>SUM($X$136:$AE$136)</f>
        <v>0</v>
      </c>
    </row>
    <row r="137" spans="1:68" x14ac:dyDescent="0.25">
      <c r="A137">
        <v>79</v>
      </c>
      <c r="B137">
        <v>2</v>
      </c>
      <c r="C137">
        <v>8450</v>
      </c>
      <c r="D137">
        <v>4</v>
      </c>
      <c r="E137">
        <v>9</v>
      </c>
      <c r="F137" t="s">
        <v>13</v>
      </c>
      <c r="G137">
        <v>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f>($H$137) * (225)</f>
        <v>0</v>
      </c>
      <c r="AG137">
        <f>($I$137) * (80)</f>
        <v>0</v>
      </c>
      <c r="AH137">
        <f>($J$137) * (80)</f>
        <v>0</v>
      </c>
      <c r="AI137">
        <f>($K$137) * (225)</f>
        <v>0</v>
      </c>
      <c r="AJ137">
        <f>($L$137) * (80)</f>
        <v>0</v>
      </c>
      <c r="AK137">
        <f>($M$137) * (80)</f>
        <v>0</v>
      </c>
      <c r="AL137">
        <f>($N$137) * (225)</f>
        <v>0</v>
      </c>
      <c r="AM137">
        <f>($O$137) * (225)</f>
        <v>0</v>
      </c>
      <c r="AN137">
        <f>($P$137) * (80)</f>
        <v>0</v>
      </c>
      <c r="AO137">
        <f>($Q$137) * (80)</f>
        <v>0</v>
      </c>
      <c r="AP137">
        <f>($R$137) * (225)</f>
        <v>0</v>
      </c>
      <c r="AQ137">
        <f>($S$137) * (80)</f>
        <v>0</v>
      </c>
      <c r="AR137">
        <f>($T$137) * (80)</f>
        <v>0</v>
      </c>
      <c r="AS137">
        <f>($U$137) * (225)</f>
        <v>0</v>
      </c>
      <c r="AT137">
        <f>($V$137) * (80)</f>
        <v>0</v>
      </c>
      <c r="AU137">
        <f>($W$137) * (80)</f>
        <v>0</v>
      </c>
      <c r="AV137">
        <f>($X$137) * (225)</f>
        <v>0</v>
      </c>
      <c r="AW137">
        <f>($Y$137) * (80)</f>
        <v>0</v>
      </c>
      <c r="AX137">
        <f>($Z$137) * (295)</f>
        <v>0</v>
      </c>
      <c r="AY137">
        <f>($AA$137) * (150)</f>
        <v>0</v>
      </c>
      <c r="AZ137">
        <f>($AB$137) * (365)</f>
        <v>0</v>
      </c>
      <c r="BA137">
        <f>($AC$137) * (220)</f>
        <v>0</v>
      </c>
      <c r="BB137">
        <f>($AD$137) * (435)</f>
        <v>0</v>
      </c>
      <c r="BC137">
        <f>($AE$137) * (505)</f>
        <v>0</v>
      </c>
      <c r="BO137">
        <v>1</v>
      </c>
      <c r="BP137">
        <f>SUM($R$137:$AB$137)</f>
        <v>0</v>
      </c>
    </row>
    <row r="138" spans="1:68" x14ac:dyDescent="0.25">
      <c r="A138">
        <v>124</v>
      </c>
      <c r="B138">
        <v>2</v>
      </c>
      <c r="C138">
        <v>10305</v>
      </c>
      <c r="D138">
        <v>-1</v>
      </c>
      <c r="E138">
        <v>4</v>
      </c>
      <c r="F138" t="s">
        <v>13</v>
      </c>
      <c r="G138">
        <v>4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f>($H$138) * (225)</f>
        <v>0</v>
      </c>
      <c r="AG138">
        <f>($I$138) * (80)</f>
        <v>0</v>
      </c>
      <c r="AH138">
        <f>($J$138) * (80)</f>
        <v>0</v>
      </c>
      <c r="AI138">
        <f>($K$138) * (225)</f>
        <v>0</v>
      </c>
      <c r="AJ138">
        <f>($L$138) * (80)</f>
        <v>0</v>
      </c>
      <c r="AK138">
        <f>($M$138) * (80)</f>
        <v>0</v>
      </c>
      <c r="AL138">
        <f>($N$138) * (295)</f>
        <v>0</v>
      </c>
      <c r="AM138">
        <f>($O$138) * (365)</f>
        <v>0</v>
      </c>
      <c r="AN138">
        <f>($P$138) * (220)</f>
        <v>0</v>
      </c>
      <c r="AO138">
        <f>($Q$138) * (220)</f>
        <v>0</v>
      </c>
      <c r="AP138">
        <f>($R$138) * (435)</f>
        <v>0</v>
      </c>
      <c r="AQ138">
        <f>($S$138) * (290)</f>
        <v>0</v>
      </c>
      <c r="AR138">
        <f>($T$138) * (290)</f>
        <v>0</v>
      </c>
      <c r="AS138">
        <f>($U$138) * (505)</f>
        <v>0</v>
      </c>
      <c r="AT138">
        <f>($V$138) * (360)</f>
        <v>0</v>
      </c>
      <c r="AU138">
        <f>($W$138) * (360)</f>
        <v>0</v>
      </c>
      <c r="AV138">
        <f>($X$138) * (575)</f>
        <v>0</v>
      </c>
      <c r="AW138">
        <f>($Y$138) * (430)</f>
        <v>0</v>
      </c>
      <c r="AX138">
        <f>($Z$138) * (645)</f>
        <v>0</v>
      </c>
      <c r="AY138">
        <f>($AA$138) * (500)</f>
        <v>0</v>
      </c>
      <c r="AZ138">
        <f>($AB$138) * (715)</f>
        <v>0</v>
      </c>
      <c r="BA138">
        <f>($AC$138) * (570)</f>
        <v>0</v>
      </c>
      <c r="BB138">
        <f>($AD$138) * (785)</f>
        <v>0</v>
      </c>
      <c r="BC138">
        <f>($AE$138) * (855)</f>
        <v>0</v>
      </c>
      <c r="BO138">
        <v>1</v>
      </c>
      <c r="BP138">
        <f>SUM($H$138:$O$138)</f>
        <v>0</v>
      </c>
    </row>
    <row r="139" spans="1:68" x14ac:dyDescent="0.25">
      <c r="A139">
        <v>185</v>
      </c>
      <c r="B139">
        <v>2</v>
      </c>
      <c r="C139">
        <v>24200</v>
      </c>
      <c r="D139">
        <v>4</v>
      </c>
      <c r="E139">
        <v>8</v>
      </c>
      <c r="F139" t="s">
        <v>13</v>
      </c>
      <c r="G139">
        <v>4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f>($H$139) * (225)</f>
        <v>0</v>
      </c>
      <c r="AG139">
        <f>($I$139) * (80)</f>
        <v>0</v>
      </c>
      <c r="AH139">
        <f>($J$139) * (80)</f>
        <v>0</v>
      </c>
      <c r="AI139">
        <f>($K$139) * (225)</f>
        <v>0</v>
      </c>
      <c r="AJ139">
        <f>($L$139) * (80)</f>
        <v>0</v>
      </c>
      <c r="AK139">
        <f>($M$139) * (80)</f>
        <v>0</v>
      </c>
      <c r="AL139">
        <f>($N$139) * (225)</f>
        <v>0</v>
      </c>
      <c r="AM139">
        <f>($O$139) * (225)</f>
        <v>0</v>
      </c>
      <c r="AN139">
        <f>($P$139) * (80)</f>
        <v>0</v>
      </c>
      <c r="AO139">
        <f>($Q$139) * (80)</f>
        <v>0</v>
      </c>
      <c r="AP139">
        <f>($R$139) * (225)</f>
        <v>0</v>
      </c>
      <c r="AQ139">
        <f>($S$139) * (80)</f>
        <v>0</v>
      </c>
      <c r="AR139">
        <f>($T$139) * (80)</f>
        <v>0</v>
      </c>
      <c r="AS139">
        <f>($U$139) * (225)</f>
        <v>0</v>
      </c>
      <c r="AT139">
        <f>($V$139) * (80)</f>
        <v>0</v>
      </c>
      <c r="AU139">
        <f>($W$139) * (80)</f>
        <v>0</v>
      </c>
      <c r="AV139">
        <f>($X$139) * (225)</f>
        <v>0</v>
      </c>
      <c r="AW139">
        <f>($Y$139) * (80)</f>
        <v>0</v>
      </c>
      <c r="AX139">
        <f>($Z$139) * (295)</f>
        <v>0</v>
      </c>
      <c r="AY139">
        <f>($AA$139) * (150)</f>
        <v>0</v>
      </c>
      <c r="AZ139">
        <f>($AB$139) * (365)</f>
        <v>0</v>
      </c>
      <c r="BA139">
        <f>($AC$139) * (220)</f>
        <v>0</v>
      </c>
      <c r="BB139">
        <f>($AD$139) * (435)</f>
        <v>0</v>
      </c>
      <c r="BC139">
        <f>($AE$139) * (505)</f>
        <v>0</v>
      </c>
      <c r="BO139">
        <v>1</v>
      </c>
      <c r="BP139">
        <f>SUM($R$139:$Z$139)</f>
        <v>0</v>
      </c>
    </row>
    <row r="140" spans="1:68" x14ac:dyDescent="0.25">
      <c r="A140">
        <v>262</v>
      </c>
      <c r="B140">
        <v>2</v>
      </c>
      <c r="C140">
        <v>24200</v>
      </c>
      <c r="D140">
        <v>5</v>
      </c>
      <c r="E140">
        <v>8</v>
      </c>
      <c r="F140" t="s">
        <v>13</v>
      </c>
      <c r="G140">
        <v>4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f>($H$140) * (225)</f>
        <v>0</v>
      </c>
      <c r="AG140">
        <f>($I$140) * (80)</f>
        <v>0</v>
      </c>
      <c r="AH140">
        <f>($J$140) * (80)</f>
        <v>0</v>
      </c>
      <c r="AI140">
        <f>($K$140) * (225)</f>
        <v>0</v>
      </c>
      <c r="AJ140">
        <f>($L$140) * (80)</f>
        <v>0</v>
      </c>
      <c r="AK140">
        <f>($M$140) * (80)</f>
        <v>0</v>
      </c>
      <c r="AL140">
        <f>($N$140) * (225)</f>
        <v>0</v>
      </c>
      <c r="AM140">
        <f>($O$140) * (225)</f>
        <v>0</v>
      </c>
      <c r="AN140">
        <f>($P$140) * (80)</f>
        <v>0</v>
      </c>
      <c r="AO140">
        <f>($Q$140) * (80)</f>
        <v>0</v>
      </c>
      <c r="AP140">
        <f>($R$140) * (225)</f>
        <v>0</v>
      </c>
      <c r="AQ140">
        <f>($S$140) * (80)</f>
        <v>0</v>
      </c>
      <c r="AR140">
        <f>($T$140) * (80)</f>
        <v>0</v>
      </c>
      <c r="AS140">
        <f>($U$140) * (225)</f>
        <v>0</v>
      </c>
      <c r="AT140">
        <f>($V$140) * (80)</f>
        <v>0</v>
      </c>
      <c r="AU140">
        <f>($W$140) * (80)</f>
        <v>0</v>
      </c>
      <c r="AV140">
        <f>($X$140) * (225)</f>
        <v>0</v>
      </c>
      <c r="AW140">
        <f>($Y$140) * (80)</f>
        <v>0</v>
      </c>
      <c r="AX140">
        <f>($Z$140) * (225)</f>
        <v>0</v>
      </c>
      <c r="AY140">
        <f>($AA$140) * (80)</f>
        <v>0</v>
      </c>
      <c r="AZ140">
        <f>($AB$140) * (295)</f>
        <v>0</v>
      </c>
      <c r="BA140">
        <f>($AC$140) * (150)</f>
        <v>0</v>
      </c>
      <c r="BB140">
        <f>($AD$140) * (365)</f>
        <v>0</v>
      </c>
      <c r="BC140">
        <f>($AE$140) * (435)</f>
        <v>0</v>
      </c>
      <c r="BO140">
        <v>1</v>
      </c>
      <c r="BP140">
        <f>SUM($U$140:$Z$140)</f>
        <v>0</v>
      </c>
    </row>
    <row r="141" spans="1:68" x14ac:dyDescent="0.25">
      <c r="A141">
        <v>276</v>
      </c>
      <c r="B141">
        <v>2</v>
      </c>
      <c r="C141">
        <v>14200</v>
      </c>
      <c r="D141">
        <v>1</v>
      </c>
      <c r="E141">
        <v>5</v>
      </c>
      <c r="F141" t="s">
        <v>13</v>
      </c>
      <c r="G141">
        <v>3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f>($H$141) * (225)</f>
        <v>0</v>
      </c>
      <c r="AG141">
        <f>($I$141) * (80)</f>
        <v>0</v>
      </c>
      <c r="AH141">
        <f>($J$141) * (80)</f>
        <v>0</v>
      </c>
      <c r="AI141">
        <f>($K$141) * (225)</f>
        <v>0</v>
      </c>
      <c r="AJ141">
        <f>($L$141) * (80)</f>
        <v>0</v>
      </c>
      <c r="AK141">
        <f>($M$141) * (80)</f>
        <v>0</v>
      </c>
      <c r="AL141">
        <f>($N$141) * (225)</f>
        <v>0</v>
      </c>
      <c r="AM141">
        <f>($O$141) * (295)</f>
        <v>0</v>
      </c>
      <c r="AN141">
        <f>($P$141) * (150)</f>
        <v>0</v>
      </c>
      <c r="AO141">
        <f>($Q$141) * (150)</f>
        <v>0</v>
      </c>
      <c r="AP141">
        <f>($R$141) * (365)</f>
        <v>0</v>
      </c>
      <c r="AQ141">
        <f>($S$141) * (220)</f>
        <v>0</v>
      </c>
      <c r="AR141">
        <f>($T$141) * (220)</f>
        <v>0</v>
      </c>
      <c r="AS141">
        <f>($U$141) * (435)</f>
        <v>0</v>
      </c>
      <c r="AT141">
        <f>($V$141) * (290)</f>
        <v>0</v>
      </c>
      <c r="AU141">
        <f>($W$141) * (290)</f>
        <v>0</v>
      </c>
      <c r="AV141">
        <f>($X$141) * (505)</f>
        <v>0</v>
      </c>
      <c r="AW141">
        <f>($Y$141) * (360)</f>
        <v>0</v>
      </c>
      <c r="AX141">
        <f>($Z$141) * (575)</f>
        <v>0</v>
      </c>
      <c r="AY141">
        <f>($AA$141) * (430)</f>
        <v>0</v>
      </c>
      <c r="AZ141">
        <f>($AB$141) * (645)</f>
        <v>0</v>
      </c>
      <c r="BA141">
        <f>($AC$141) * (500)</f>
        <v>0</v>
      </c>
      <c r="BB141">
        <f>($AD$141) * (715)</f>
        <v>0</v>
      </c>
      <c r="BC141">
        <f>($AE$141) * (785)</f>
        <v>0</v>
      </c>
      <c r="BO141">
        <v>1</v>
      </c>
      <c r="BP141">
        <f>SUM($K$141:$R$141)</f>
        <v>0</v>
      </c>
    </row>
    <row r="142" spans="1:68" x14ac:dyDescent="0.25">
      <c r="A142">
        <v>292</v>
      </c>
      <c r="B142">
        <v>2</v>
      </c>
      <c r="C142">
        <v>16254</v>
      </c>
      <c r="D142">
        <v>1</v>
      </c>
      <c r="E142">
        <v>5</v>
      </c>
      <c r="F142" t="s">
        <v>13</v>
      </c>
      <c r="G142">
        <v>3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f>($H$142) * (225)</f>
        <v>0</v>
      </c>
      <c r="AG142">
        <f>($I$142) * (80)</f>
        <v>0</v>
      </c>
      <c r="AH142">
        <f>($J$142) * (80)</f>
        <v>0</v>
      </c>
      <c r="AI142">
        <f>($K$142) * (225)</f>
        <v>0</v>
      </c>
      <c r="AJ142">
        <f>($L$142) * (80)</f>
        <v>0</v>
      </c>
      <c r="AK142">
        <f>($M$142) * (80)</f>
        <v>0</v>
      </c>
      <c r="AL142">
        <f>($N$142) * (225)</f>
        <v>0</v>
      </c>
      <c r="AM142">
        <f>($O$142) * (295)</f>
        <v>0</v>
      </c>
      <c r="AN142">
        <f>($P$142) * (150)</f>
        <v>0</v>
      </c>
      <c r="AO142">
        <f>($Q$142) * (150)</f>
        <v>0</v>
      </c>
      <c r="AP142">
        <f>($R$142) * (365)</f>
        <v>0</v>
      </c>
      <c r="AQ142">
        <f>($S$142) * (220)</f>
        <v>0</v>
      </c>
      <c r="AR142">
        <f>($T$142) * (220)</f>
        <v>0</v>
      </c>
      <c r="AS142">
        <f>($U$142) * (435)</f>
        <v>0</v>
      </c>
      <c r="AT142">
        <f>($V$142) * (290)</f>
        <v>0</v>
      </c>
      <c r="AU142">
        <f>($W$142) * (290)</f>
        <v>0</v>
      </c>
      <c r="AV142">
        <f>($X$142) * (505)</f>
        <v>0</v>
      </c>
      <c r="AW142">
        <f>($Y$142) * (360)</f>
        <v>0</v>
      </c>
      <c r="AX142">
        <f>($Z$142) * (575)</f>
        <v>0</v>
      </c>
      <c r="AY142">
        <f>($AA$142) * (430)</f>
        <v>0</v>
      </c>
      <c r="AZ142">
        <f>($AB$142) * (645)</f>
        <v>0</v>
      </c>
      <c r="BA142">
        <f>($AC$142) * (500)</f>
        <v>0</v>
      </c>
      <c r="BB142">
        <f>($AD$142) * (715)</f>
        <v>0</v>
      </c>
      <c r="BC142">
        <f>($AE$142) * (785)</f>
        <v>0</v>
      </c>
      <c r="BO142">
        <v>1</v>
      </c>
      <c r="BP142">
        <f>SUM($K$142:$R$142)</f>
        <v>0</v>
      </c>
    </row>
    <row r="143" spans="1:68" x14ac:dyDescent="0.25">
      <c r="A143">
        <v>1</v>
      </c>
      <c r="B143">
        <v>1</v>
      </c>
      <c r="C143">
        <v>23000</v>
      </c>
      <c r="D143">
        <v>0</v>
      </c>
      <c r="E143">
        <v>4</v>
      </c>
      <c r="F143" t="s">
        <v>7</v>
      </c>
      <c r="G143">
        <v>4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f>($H$143) * (225)</f>
        <v>0</v>
      </c>
      <c r="AG143">
        <f>($I$143) * (40)</f>
        <v>0</v>
      </c>
      <c r="AH143">
        <f>($J$143) * (40)</f>
        <v>0</v>
      </c>
      <c r="AI143">
        <f>($K$143) * (225)</f>
        <v>0</v>
      </c>
      <c r="AJ143">
        <f>($L$143) * (40)</f>
        <v>0</v>
      </c>
      <c r="AK143">
        <f>($M$143) * (40)</f>
        <v>0</v>
      </c>
      <c r="AL143">
        <f>($N$143) * (225)</f>
        <v>0</v>
      </c>
      <c r="AM143">
        <f>($O$143) * (275)</f>
        <v>0</v>
      </c>
      <c r="AN143">
        <f>($P$143) * (90)</f>
        <v>0</v>
      </c>
      <c r="AO143">
        <f>($Q$143) * (90)</f>
        <v>0</v>
      </c>
      <c r="AP143">
        <f>($R$143) * (325)</f>
        <v>0</v>
      </c>
      <c r="AQ143">
        <f>($S$143) * (140)</f>
        <v>0</v>
      </c>
      <c r="AR143">
        <f>($T$143) * (140)</f>
        <v>0</v>
      </c>
      <c r="AS143">
        <f>($U$143) * (375)</f>
        <v>0</v>
      </c>
      <c r="AT143">
        <f>($V$143) * (190)</f>
        <v>0</v>
      </c>
      <c r="AU143">
        <f>($W$143) * (190)</f>
        <v>0</v>
      </c>
      <c r="AV143">
        <f>($X$143) * (425)</f>
        <v>0</v>
      </c>
      <c r="AW143">
        <f>($Y$143) * (240)</f>
        <v>0</v>
      </c>
      <c r="AX143">
        <f>($Z$143) * (475)</f>
        <v>0</v>
      </c>
      <c r="AY143">
        <f>($AA$143) * (290)</f>
        <v>0</v>
      </c>
      <c r="AZ143">
        <f>($AB$143) * (525)</f>
        <v>0</v>
      </c>
      <c r="BA143">
        <f>($AC$143) * (340)</f>
        <v>0</v>
      </c>
      <c r="BB143">
        <f>($AD$143) * (575)</f>
        <v>0</v>
      </c>
      <c r="BC143">
        <f>($AE$143) * (625)</f>
        <v>0</v>
      </c>
      <c r="BO143">
        <v>1</v>
      </c>
      <c r="BP143">
        <f>SUM($H$143:$O$143)</f>
        <v>0</v>
      </c>
    </row>
    <row r="144" spans="1:68" x14ac:dyDescent="0.25">
      <c r="A144">
        <v>5</v>
      </c>
      <c r="B144">
        <v>1</v>
      </c>
      <c r="C144">
        <v>8737</v>
      </c>
      <c r="D144">
        <v>4</v>
      </c>
      <c r="E144">
        <v>7</v>
      </c>
      <c r="F144" t="s">
        <v>7</v>
      </c>
      <c r="G144">
        <v>3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f>($H$144) * (225)</f>
        <v>0</v>
      </c>
      <c r="AG144">
        <f>($I$144) * (40)</f>
        <v>0</v>
      </c>
      <c r="AH144">
        <f>($J$144) * (40)</f>
        <v>0</v>
      </c>
      <c r="AI144">
        <f>($K$144) * (225)</f>
        <v>0</v>
      </c>
      <c r="AJ144">
        <f>($L$144) * (40)</f>
        <v>0</v>
      </c>
      <c r="AK144">
        <f>($M$144) * (40)</f>
        <v>0</v>
      </c>
      <c r="AL144">
        <f>($N$144) * (225)</f>
        <v>0</v>
      </c>
      <c r="AM144">
        <f>($O$144) * (225)</f>
        <v>0</v>
      </c>
      <c r="AN144">
        <f>($P$144) * (40)</f>
        <v>0</v>
      </c>
      <c r="AO144">
        <f>($Q$144) * (40)</f>
        <v>0</v>
      </c>
      <c r="AP144">
        <f>($R$144) * (225)</f>
        <v>0</v>
      </c>
      <c r="AQ144">
        <f>($S$144) * (40)</f>
        <v>0</v>
      </c>
      <c r="AR144">
        <f>($T$144) * (40)</f>
        <v>0</v>
      </c>
      <c r="AS144">
        <f>($U$144) * (225)</f>
        <v>0</v>
      </c>
      <c r="AT144">
        <f>($V$144) * (40)</f>
        <v>0</v>
      </c>
      <c r="AU144">
        <f>($W$144) * (40)</f>
        <v>0</v>
      </c>
      <c r="AV144">
        <f>($X$144) * (275)</f>
        <v>0</v>
      </c>
      <c r="AW144">
        <f>($Y$144) * (90)</f>
        <v>0</v>
      </c>
      <c r="AX144">
        <f>($Z$144) * (325)</f>
        <v>0</v>
      </c>
      <c r="AY144">
        <f>($AA$144) * (140)</f>
        <v>0</v>
      </c>
      <c r="AZ144">
        <f>($AB$144) * (375)</f>
        <v>0</v>
      </c>
      <c r="BA144">
        <f>($AC$144) * (190)</f>
        <v>0</v>
      </c>
      <c r="BB144">
        <f>($AD$144) * (425)</f>
        <v>0</v>
      </c>
      <c r="BC144">
        <f>($AE$144) * (475)</f>
        <v>0</v>
      </c>
      <c r="BO144">
        <v>1</v>
      </c>
      <c r="BP144">
        <f>SUM($R$144:$X$144)</f>
        <v>0</v>
      </c>
    </row>
    <row r="145" spans="1:68" x14ac:dyDescent="0.25">
      <c r="A145">
        <v>7</v>
      </c>
      <c r="B145">
        <v>2</v>
      </c>
      <c r="C145">
        <v>22929</v>
      </c>
      <c r="D145">
        <v>4</v>
      </c>
      <c r="E145">
        <v>8</v>
      </c>
      <c r="F145" t="s">
        <v>7</v>
      </c>
      <c r="G145">
        <v>2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f>($H$145) * (225)</f>
        <v>0</v>
      </c>
      <c r="AG145">
        <f>($I$145) * (80)</f>
        <v>0</v>
      </c>
      <c r="AH145">
        <f>($J$145) * (80)</f>
        <v>0</v>
      </c>
      <c r="AI145">
        <f>($K$145) * (225)</f>
        <v>0</v>
      </c>
      <c r="AJ145">
        <f>($L$145) * (80)</f>
        <v>0</v>
      </c>
      <c r="AK145">
        <f>($M$145) * (80)</f>
        <v>0</v>
      </c>
      <c r="AL145">
        <f>($N$145) * (225)</f>
        <v>0</v>
      </c>
      <c r="AM145">
        <f>($O$145) * (225)</f>
        <v>0</v>
      </c>
      <c r="AN145">
        <f>($P$145) * (80)</f>
        <v>0</v>
      </c>
      <c r="AO145">
        <f>($Q$145) * (80)</f>
        <v>0</v>
      </c>
      <c r="AP145">
        <f>($R$145) * (225)</f>
        <v>0</v>
      </c>
      <c r="AQ145">
        <f>($S$145) * (80)</f>
        <v>0</v>
      </c>
      <c r="AR145">
        <f>($T$145) * (80)</f>
        <v>0</v>
      </c>
      <c r="AS145">
        <f>($U$145) * (295)</f>
        <v>0</v>
      </c>
      <c r="AT145">
        <f>($V$145) * (150)</f>
        <v>0</v>
      </c>
      <c r="AU145">
        <f>($W$145) * (150)</f>
        <v>0</v>
      </c>
      <c r="AV145">
        <f>($X$145) * (365)</f>
        <v>0</v>
      </c>
      <c r="AW145">
        <f>($Y$145) * (220)</f>
        <v>0</v>
      </c>
      <c r="AX145">
        <f>($Z$145) * (435)</f>
        <v>0</v>
      </c>
      <c r="AY145">
        <f>($AA$145) * (290)</f>
        <v>0</v>
      </c>
      <c r="AZ145">
        <f>($AB$145) * (505)</f>
        <v>0</v>
      </c>
      <c r="BA145">
        <f>($AC$145) * (360)</f>
        <v>0</v>
      </c>
      <c r="BB145">
        <f>($AD$145) * (575)</f>
        <v>0</v>
      </c>
      <c r="BC145">
        <f>($AE$145) * (645)</f>
        <v>0</v>
      </c>
      <c r="BO145">
        <v>1</v>
      </c>
      <c r="BP145">
        <f>SUM($R$145:$Z$145)</f>
        <v>0</v>
      </c>
    </row>
    <row r="146" spans="1:68" x14ac:dyDescent="0.25">
      <c r="A146">
        <v>8</v>
      </c>
      <c r="B146">
        <v>2</v>
      </c>
      <c r="C146">
        <v>26482</v>
      </c>
      <c r="D146">
        <v>2</v>
      </c>
      <c r="E146">
        <v>5</v>
      </c>
      <c r="F146" t="s">
        <v>7</v>
      </c>
      <c r="G146">
        <v>4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f>($H$146) * (225)</f>
        <v>0</v>
      </c>
      <c r="AG146">
        <f>($I$146) * (80)</f>
        <v>0</v>
      </c>
      <c r="AH146">
        <f>($J$146) * (80)</f>
        <v>0</v>
      </c>
      <c r="AI146">
        <f>($K$146) * (225)</f>
        <v>0</v>
      </c>
      <c r="AJ146">
        <f>($L$146) * (80)</f>
        <v>0</v>
      </c>
      <c r="AK146">
        <f>($M$146) * (80)</f>
        <v>0</v>
      </c>
      <c r="AL146">
        <f>($N$146) * (225)</f>
        <v>0</v>
      </c>
      <c r="AM146">
        <f>($O$146) * (225)</f>
        <v>0</v>
      </c>
      <c r="AN146">
        <f>($P$146) * (80)</f>
        <v>0</v>
      </c>
      <c r="AO146">
        <f>($Q$146) * (80)</f>
        <v>0</v>
      </c>
      <c r="AP146">
        <f>($R$146) * (225)</f>
        <v>0</v>
      </c>
      <c r="AQ146">
        <f>($S$146) * (80)</f>
        <v>0</v>
      </c>
      <c r="AR146">
        <f>($T$146) * (80)</f>
        <v>0</v>
      </c>
      <c r="AS146">
        <f>($U$146) * (295)</f>
        <v>0</v>
      </c>
      <c r="AT146">
        <f>($V$146) * (150)</f>
        <v>0</v>
      </c>
      <c r="AU146">
        <f>($W$146) * (150)</f>
        <v>0</v>
      </c>
      <c r="AV146">
        <f>($X$146) * (365)</f>
        <v>0</v>
      </c>
      <c r="AW146">
        <f>($Y$146) * (220)</f>
        <v>0</v>
      </c>
      <c r="AX146">
        <f>($Z$146) * (435)</f>
        <v>0</v>
      </c>
      <c r="AY146">
        <f>($AA$146) * (290)</f>
        <v>0</v>
      </c>
      <c r="AZ146">
        <f>($AB$146) * (505)</f>
        <v>0</v>
      </c>
      <c r="BA146">
        <f>($AC$146) * (360)</f>
        <v>0</v>
      </c>
      <c r="BB146">
        <f>($AD$146) * (575)</f>
        <v>0</v>
      </c>
      <c r="BC146">
        <f>($AE$146) * (645)</f>
        <v>0</v>
      </c>
      <c r="BO146">
        <v>1</v>
      </c>
      <c r="BP146">
        <f>SUM($N$146:$R$146)</f>
        <v>0</v>
      </c>
    </row>
    <row r="147" spans="1:68" x14ac:dyDescent="0.25">
      <c r="A147">
        <v>9</v>
      </c>
      <c r="B147">
        <v>2</v>
      </c>
      <c r="C147">
        <v>21500</v>
      </c>
      <c r="D147">
        <v>6</v>
      </c>
      <c r="E147">
        <v>11</v>
      </c>
      <c r="F147" t="s">
        <v>7</v>
      </c>
      <c r="G147">
        <v>4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f>($H$147) * (225)</f>
        <v>0</v>
      </c>
      <c r="AG147">
        <f>($I$147) * (80)</f>
        <v>0</v>
      </c>
      <c r="AH147">
        <f>($J$147) * (80)</f>
        <v>0</v>
      </c>
      <c r="AI147">
        <f>($K$147) * (225)</f>
        <v>0</v>
      </c>
      <c r="AJ147">
        <f>($L$147) * (80)</f>
        <v>0</v>
      </c>
      <c r="AK147">
        <f>($M$147) * (80)</f>
        <v>0</v>
      </c>
      <c r="AL147">
        <f>($N$147) * (225)</f>
        <v>0</v>
      </c>
      <c r="AM147">
        <f>($O$147) * (225)</f>
        <v>0</v>
      </c>
      <c r="AN147">
        <f>($P$147) * (80)</f>
        <v>0</v>
      </c>
      <c r="AO147">
        <f>($Q$147) * (80)</f>
        <v>0</v>
      </c>
      <c r="AP147">
        <f>($R$147) * (225)</f>
        <v>0</v>
      </c>
      <c r="AQ147">
        <f>($S$147) * (80)</f>
        <v>0</v>
      </c>
      <c r="AR147">
        <f>($T$147) * (80)</f>
        <v>0</v>
      </c>
      <c r="AS147">
        <f>($U$147) * (225)</f>
        <v>0</v>
      </c>
      <c r="AT147">
        <f>($V$147) * (80)</f>
        <v>0</v>
      </c>
      <c r="AU147">
        <f>($W$147) * (80)</f>
        <v>0</v>
      </c>
      <c r="AV147">
        <f>($X$147) * (225)</f>
        <v>0</v>
      </c>
      <c r="AW147">
        <f>($Y$147) * (80)</f>
        <v>0</v>
      </c>
      <c r="AX147">
        <f>($Z$147) * (225)</f>
        <v>0</v>
      </c>
      <c r="AY147">
        <f>($AA$147) * (80)</f>
        <v>0</v>
      </c>
      <c r="AZ147">
        <f>($AB$147) * (225)</f>
        <v>0</v>
      </c>
      <c r="BA147">
        <f>($AC$147) * (80)</f>
        <v>0</v>
      </c>
      <c r="BB147">
        <f>($AD$147) * (295)</f>
        <v>0</v>
      </c>
      <c r="BC147">
        <f>($AE$147) * (365)</f>
        <v>0</v>
      </c>
      <c r="BO147">
        <v>1</v>
      </c>
      <c r="BP147">
        <f>SUM($X$147:$AE$147)</f>
        <v>0</v>
      </c>
    </row>
    <row r="148" spans="1:68" x14ac:dyDescent="0.25">
      <c r="A148">
        <v>10</v>
      </c>
      <c r="B148">
        <v>2</v>
      </c>
      <c r="C148">
        <v>10600</v>
      </c>
      <c r="D148">
        <v>5</v>
      </c>
      <c r="E148">
        <v>10</v>
      </c>
      <c r="F148" t="s">
        <v>7</v>
      </c>
      <c r="G148">
        <v>3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f>($H$148) * (225)</f>
        <v>0</v>
      </c>
      <c r="AG148">
        <f>($I$148) * (80)</f>
        <v>0</v>
      </c>
      <c r="AH148">
        <f>($J$148) * (80)</f>
        <v>0</v>
      </c>
      <c r="AI148">
        <f>($K$148) * (225)</f>
        <v>0</v>
      </c>
      <c r="AJ148">
        <f>($L$148) * (80)</f>
        <v>0</v>
      </c>
      <c r="AK148">
        <f>($M$148) * (80)</f>
        <v>0</v>
      </c>
      <c r="AL148">
        <f>($N$148) * (225)</f>
        <v>0</v>
      </c>
      <c r="AM148">
        <f>($O$148) * (225)</f>
        <v>0</v>
      </c>
      <c r="AN148">
        <f>($P$148) * (80)</f>
        <v>0</v>
      </c>
      <c r="AO148">
        <f>($Q$148) * (80)</f>
        <v>0</v>
      </c>
      <c r="AP148">
        <f>($R$148) * (225)</f>
        <v>0</v>
      </c>
      <c r="AQ148">
        <f>($S$148) * (80)</f>
        <v>0</v>
      </c>
      <c r="AR148">
        <f>($T$148) * (80)</f>
        <v>0</v>
      </c>
      <c r="AS148">
        <f>($U$148) * (225)</f>
        <v>0</v>
      </c>
      <c r="AT148">
        <f>($V$148) * (80)</f>
        <v>0</v>
      </c>
      <c r="AU148">
        <f>($W$148) * (80)</f>
        <v>0</v>
      </c>
      <c r="AV148">
        <f>($X$148) * (225)</f>
        <v>0</v>
      </c>
      <c r="AW148">
        <f>($Y$148) * (80)</f>
        <v>0</v>
      </c>
      <c r="AX148">
        <f>($Z$148) * (295)</f>
        <v>0</v>
      </c>
      <c r="AY148">
        <f>($AA$148) * (150)</f>
        <v>0</v>
      </c>
      <c r="AZ148">
        <f>($AB$148) * (365)</f>
        <v>0</v>
      </c>
      <c r="BA148">
        <f>($AC$148) * (220)</f>
        <v>0</v>
      </c>
      <c r="BB148">
        <f>($AD$148) * (435)</f>
        <v>0</v>
      </c>
      <c r="BC148">
        <f>($AE$148) * (505)</f>
        <v>0</v>
      </c>
      <c r="BO148">
        <v>1</v>
      </c>
      <c r="BP148">
        <f>SUM($U$148:$AD$148)</f>
        <v>0</v>
      </c>
    </row>
    <row r="149" spans="1:68" x14ac:dyDescent="0.25">
      <c r="A149">
        <v>15</v>
      </c>
      <c r="B149">
        <v>1</v>
      </c>
      <c r="C149">
        <v>10898</v>
      </c>
      <c r="D149">
        <v>3</v>
      </c>
      <c r="E149">
        <v>8</v>
      </c>
      <c r="F149" t="s">
        <v>7</v>
      </c>
      <c r="G149">
        <v>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f>($H$149) * (225)</f>
        <v>0</v>
      </c>
      <c r="AG149">
        <f>($I$149) * (40)</f>
        <v>0</v>
      </c>
      <c r="AH149">
        <f>($J$149) * (40)</f>
        <v>0</v>
      </c>
      <c r="AI149">
        <f>($K$149) * (225)</f>
        <v>0</v>
      </c>
      <c r="AJ149">
        <f>($L$149) * (40)</f>
        <v>0</v>
      </c>
      <c r="AK149">
        <f>($M$149) * (40)</f>
        <v>0</v>
      </c>
      <c r="AL149">
        <f>($N$149) * (225)</f>
        <v>0</v>
      </c>
      <c r="AM149">
        <f>($O$149) * (225)</f>
        <v>0</v>
      </c>
      <c r="AN149">
        <f>($P$149) * (40)</f>
        <v>0</v>
      </c>
      <c r="AO149">
        <f>($Q$149) * (40)</f>
        <v>0</v>
      </c>
      <c r="AP149">
        <f>($R$149) * (225)</f>
        <v>0</v>
      </c>
      <c r="AQ149">
        <f>($S$149) * (40)</f>
        <v>0</v>
      </c>
      <c r="AR149">
        <f>($T$149) * (40)</f>
        <v>0</v>
      </c>
      <c r="AS149">
        <f>($U$149) * (225)</f>
        <v>0</v>
      </c>
      <c r="AT149">
        <f>($V$149) * (40)</f>
        <v>0</v>
      </c>
      <c r="AU149">
        <f>($W$149) * (40)</f>
        <v>0</v>
      </c>
      <c r="AV149">
        <f>($X$149) * (225)</f>
        <v>0</v>
      </c>
      <c r="AW149">
        <f>($Y$149) * (40)</f>
        <v>0</v>
      </c>
      <c r="AX149">
        <f>($Z$149) * (275)</f>
        <v>0</v>
      </c>
      <c r="AY149">
        <f>($AA$149) * (90)</f>
        <v>0</v>
      </c>
      <c r="AZ149">
        <f>($AB$149) * (325)</f>
        <v>0</v>
      </c>
      <c r="BA149">
        <f>($AC$149) * (140)</f>
        <v>0</v>
      </c>
      <c r="BB149">
        <f>($AD$149) * (375)</f>
        <v>0</v>
      </c>
      <c r="BC149">
        <f>($AE$149) * (425)</f>
        <v>0</v>
      </c>
      <c r="BO149">
        <v>1</v>
      </c>
      <c r="BP149">
        <f>SUM($O$149:$Z$149)</f>
        <v>0</v>
      </c>
    </row>
    <row r="150" spans="1:68" x14ac:dyDescent="0.25">
      <c r="A150">
        <v>19</v>
      </c>
      <c r="B150">
        <v>1</v>
      </c>
      <c r="C150">
        <v>5520</v>
      </c>
      <c r="D150">
        <v>0</v>
      </c>
      <c r="E150">
        <v>4</v>
      </c>
      <c r="F150" t="s">
        <v>7</v>
      </c>
      <c r="G150">
        <v>3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f>($H$150) * (225)</f>
        <v>0</v>
      </c>
      <c r="AG150">
        <f>($I$150) * (40)</f>
        <v>0</v>
      </c>
      <c r="AH150">
        <f>($J$150) * (40)</f>
        <v>0</v>
      </c>
      <c r="AI150">
        <f>($K$150) * (225)</f>
        <v>0</v>
      </c>
      <c r="AJ150">
        <f>($L$150) * (40)</f>
        <v>0</v>
      </c>
      <c r="AK150">
        <f>($M$150) * (40)</f>
        <v>0</v>
      </c>
      <c r="AL150">
        <f>($N$150) * (275)</f>
        <v>0</v>
      </c>
      <c r="AM150">
        <f>($O$150) * (325)</f>
        <v>0</v>
      </c>
      <c r="AN150">
        <f>($P$150) * (140)</f>
        <v>0</v>
      </c>
      <c r="AO150">
        <f>($Q$150) * (140)</f>
        <v>0</v>
      </c>
      <c r="AP150">
        <f>($R$150) * (375)</f>
        <v>0</v>
      </c>
      <c r="AQ150">
        <f>($S$150) * (190)</f>
        <v>0</v>
      </c>
      <c r="AR150">
        <f>($T$150) * (190)</f>
        <v>0</v>
      </c>
      <c r="AS150">
        <f>($U$150) * (425)</f>
        <v>0</v>
      </c>
      <c r="AT150">
        <f>($V$150) * (240)</f>
        <v>0</v>
      </c>
      <c r="AU150">
        <f>($W$150) * (240)</f>
        <v>0</v>
      </c>
      <c r="AV150">
        <f>($X$150) * (475)</f>
        <v>0</v>
      </c>
      <c r="AW150">
        <f>($Y$150) * (290)</f>
        <v>0</v>
      </c>
      <c r="AX150">
        <f>($Z$150) * (525)</f>
        <v>0</v>
      </c>
      <c r="AY150">
        <f>($AA$150) * (340)</f>
        <v>0</v>
      </c>
      <c r="AZ150">
        <f>($AB$150) * (575)</f>
        <v>0</v>
      </c>
      <c r="BA150">
        <f>($AC$150) * (390)</f>
        <v>0</v>
      </c>
      <c r="BB150">
        <f>($AD$150) * (625)</f>
        <v>0</v>
      </c>
      <c r="BC150">
        <f>($AE$150) * (675)</f>
        <v>0</v>
      </c>
      <c r="BO150">
        <v>1</v>
      </c>
      <c r="BP150">
        <f>SUM($H$150:$O$150)</f>
        <v>0</v>
      </c>
    </row>
    <row r="151" spans="1:68" x14ac:dyDescent="0.25">
      <c r="A151">
        <v>25</v>
      </c>
      <c r="B151">
        <v>2</v>
      </c>
      <c r="C151">
        <v>9382</v>
      </c>
      <c r="D151">
        <v>6</v>
      </c>
      <c r="E151">
        <v>9</v>
      </c>
      <c r="F151" t="s">
        <v>7</v>
      </c>
      <c r="G151">
        <v>4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f>($H$151) * (225)</f>
        <v>0</v>
      </c>
      <c r="AG151">
        <f>($I$151) * (80)</f>
        <v>0</v>
      </c>
      <c r="AH151">
        <f>($J$151) * (80)</f>
        <v>0</v>
      </c>
      <c r="AI151">
        <f>($K$151) * (225)</f>
        <v>0</v>
      </c>
      <c r="AJ151">
        <f>($L$151) * (80)</f>
        <v>0</v>
      </c>
      <c r="AK151">
        <f>($M$151) * (80)</f>
        <v>0</v>
      </c>
      <c r="AL151">
        <f>($N$151) * (225)</f>
        <v>0</v>
      </c>
      <c r="AM151">
        <f>($O$151) * (225)</f>
        <v>0</v>
      </c>
      <c r="AN151">
        <f>($P$151) * (80)</f>
        <v>0</v>
      </c>
      <c r="AO151">
        <f>($Q$151) * (80)</f>
        <v>0</v>
      </c>
      <c r="AP151">
        <f>($R$151) * (225)</f>
        <v>0</v>
      </c>
      <c r="AQ151">
        <f>($S$151) * (80)</f>
        <v>0</v>
      </c>
      <c r="AR151">
        <f>($T$151) * (80)</f>
        <v>0</v>
      </c>
      <c r="AS151">
        <f>($U$151) * (225)</f>
        <v>0</v>
      </c>
      <c r="AT151">
        <f>($V$151) * (80)</f>
        <v>0</v>
      </c>
      <c r="AU151">
        <f>($W$151) * (80)</f>
        <v>0</v>
      </c>
      <c r="AV151">
        <f>($X$151) * (225)</f>
        <v>0</v>
      </c>
      <c r="AW151">
        <f>($Y$151) * (80)</f>
        <v>0</v>
      </c>
      <c r="AX151">
        <f>($Z$151) * (225)</f>
        <v>0</v>
      </c>
      <c r="AY151">
        <f>($AA$151) * (80)</f>
        <v>0</v>
      </c>
      <c r="AZ151">
        <f>($AB$151) * (225)</f>
        <v>0</v>
      </c>
      <c r="BA151">
        <f>($AC$151) * (80)</f>
        <v>0</v>
      </c>
      <c r="BB151">
        <f>($AD$151) * (295)</f>
        <v>0</v>
      </c>
      <c r="BC151">
        <f>($AE$151) * (365)</f>
        <v>0</v>
      </c>
      <c r="BO151">
        <v>1</v>
      </c>
      <c r="BP151">
        <f>SUM($X$151:$AB$151)</f>
        <v>0</v>
      </c>
    </row>
    <row r="152" spans="1:68" x14ac:dyDescent="0.25">
      <c r="A152">
        <v>29</v>
      </c>
      <c r="B152">
        <v>1</v>
      </c>
      <c r="C152">
        <v>5756</v>
      </c>
      <c r="D152">
        <v>4</v>
      </c>
      <c r="E152">
        <v>7</v>
      </c>
      <c r="F152" t="s">
        <v>7</v>
      </c>
      <c r="G152">
        <v>4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f>($H$152) * (225)</f>
        <v>0</v>
      </c>
      <c r="AG152">
        <f>($I$152) * (40)</f>
        <v>0</v>
      </c>
      <c r="AH152">
        <f>($J$152) * (40)</f>
        <v>0</v>
      </c>
      <c r="AI152">
        <f>($K$152) * (225)</f>
        <v>0</v>
      </c>
      <c r="AJ152">
        <f>($L$152) * (40)</f>
        <v>0</v>
      </c>
      <c r="AK152">
        <f>($M$152) * (40)</f>
        <v>0</v>
      </c>
      <c r="AL152">
        <f>($N$152) * (225)</f>
        <v>0</v>
      </c>
      <c r="AM152">
        <f>($O$152) * (225)</f>
        <v>0</v>
      </c>
      <c r="AN152">
        <f>($P$152) * (40)</f>
        <v>0</v>
      </c>
      <c r="AO152">
        <f>($Q$152) * (40)</f>
        <v>0</v>
      </c>
      <c r="AP152">
        <f>($R$152) * (225)</f>
        <v>0</v>
      </c>
      <c r="AQ152">
        <f>($S$152) * (40)</f>
        <v>0</v>
      </c>
      <c r="AR152">
        <f>($T$152) * (40)</f>
        <v>0</v>
      </c>
      <c r="AS152">
        <f>($U$152) * (225)</f>
        <v>0</v>
      </c>
      <c r="AT152">
        <f>($V$152) * (40)</f>
        <v>0</v>
      </c>
      <c r="AU152">
        <f>($W$152) * (40)</f>
        <v>0</v>
      </c>
      <c r="AV152">
        <f>($X$152) * (225)</f>
        <v>0</v>
      </c>
      <c r="AW152">
        <f>($Y$152) * (40)</f>
        <v>0</v>
      </c>
      <c r="AX152">
        <f>($Z$152) * (275)</f>
        <v>0</v>
      </c>
      <c r="AY152">
        <f>($AA$152) * (90)</f>
        <v>0</v>
      </c>
      <c r="AZ152">
        <f>($AB$152) * (325)</f>
        <v>0</v>
      </c>
      <c r="BA152">
        <f>($AC$152) * (140)</f>
        <v>0</v>
      </c>
      <c r="BB152">
        <f>($AD$152) * (375)</f>
        <v>0</v>
      </c>
      <c r="BC152">
        <f>($AE$152) * (425)</f>
        <v>0</v>
      </c>
      <c r="BO152">
        <v>1</v>
      </c>
      <c r="BP152">
        <f>SUM($R$152:$X$152)</f>
        <v>0</v>
      </c>
    </row>
    <row r="153" spans="1:68" x14ac:dyDescent="0.25">
      <c r="A153">
        <v>31</v>
      </c>
      <c r="B153">
        <v>2</v>
      </c>
      <c r="C153">
        <v>8950</v>
      </c>
      <c r="D153">
        <v>0</v>
      </c>
      <c r="E153">
        <v>3</v>
      </c>
      <c r="F153" t="s">
        <v>7</v>
      </c>
      <c r="G153">
        <v>5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f>($H$153) * (225)</f>
        <v>0</v>
      </c>
      <c r="AG153">
        <f>($I$153) * (80)</f>
        <v>0</v>
      </c>
      <c r="AH153">
        <f>($J$153) * (80)</f>
        <v>0</v>
      </c>
      <c r="AI153">
        <f>($K$153) * (225)</f>
        <v>0</v>
      </c>
      <c r="AJ153">
        <f>($L$153) * (80)</f>
        <v>0</v>
      </c>
      <c r="AK153">
        <f>($M$153) * (80)</f>
        <v>0</v>
      </c>
      <c r="AL153">
        <f>($N$153) * (225)</f>
        <v>0</v>
      </c>
      <c r="AM153">
        <f>($O$153) * (225)</f>
        <v>0</v>
      </c>
      <c r="AN153">
        <f>($P$153) * (80)</f>
        <v>0</v>
      </c>
      <c r="AO153">
        <f>($Q$153) * (80)</f>
        <v>0</v>
      </c>
      <c r="AP153">
        <f>($R$153) * (295)</f>
        <v>0</v>
      </c>
      <c r="AQ153">
        <f>($S$153) * (150)</f>
        <v>0</v>
      </c>
      <c r="AR153">
        <f>($T$153) * (150)</f>
        <v>0</v>
      </c>
      <c r="AS153">
        <f>($U$153) * (365)</f>
        <v>0</v>
      </c>
      <c r="AT153">
        <f>($V$153) * (220)</f>
        <v>0</v>
      </c>
      <c r="AU153">
        <f>($W$153) * (220)</f>
        <v>0</v>
      </c>
      <c r="AV153">
        <f>($X$153) * (435)</f>
        <v>0</v>
      </c>
      <c r="AW153">
        <f>($Y$153) * (290)</f>
        <v>0</v>
      </c>
      <c r="AX153">
        <f>($Z$153) * (505)</f>
        <v>0</v>
      </c>
      <c r="AY153">
        <f>($AA$153) * (360)</f>
        <v>0</v>
      </c>
      <c r="AZ153">
        <f>($AB$153) * (575)</f>
        <v>0</v>
      </c>
      <c r="BA153">
        <f>($AC$153) * (430)</f>
        <v>0</v>
      </c>
      <c r="BB153">
        <f>($AD$153) * (645)</f>
        <v>0</v>
      </c>
      <c r="BC153">
        <f>($AE$153) * (715)</f>
        <v>0</v>
      </c>
      <c r="BO153">
        <v>1</v>
      </c>
      <c r="BP153">
        <f>SUM($H$153:$N$153)</f>
        <v>0</v>
      </c>
    </row>
    <row r="154" spans="1:68" x14ac:dyDescent="0.25">
      <c r="A154">
        <v>32</v>
      </c>
      <c r="B154">
        <v>2</v>
      </c>
      <c r="C154">
        <v>8950</v>
      </c>
      <c r="D154">
        <v>6</v>
      </c>
      <c r="E154">
        <v>10</v>
      </c>
      <c r="F154" t="s">
        <v>7</v>
      </c>
      <c r="G154">
        <v>4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f>($H$154) * (225)</f>
        <v>0</v>
      </c>
      <c r="AG154">
        <f>($I$154) * (80)</f>
        <v>0</v>
      </c>
      <c r="AH154">
        <f>($J$154) * (80)</f>
        <v>0</v>
      </c>
      <c r="AI154">
        <f>($K$154) * (225)</f>
        <v>0</v>
      </c>
      <c r="AJ154">
        <f>($L$154) * (80)</f>
        <v>0</v>
      </c>
      <c r="AK154">
        <f>($M$154) * (80)</f>
        <v>0</v>
      </c>
      <c r="AL154">
        <f>($N$154) * (225)</f>
        <v>0</v>
      </c>
      <c r="AM154">
        <f>($O$154) * (225)</f>
        <v>0</v>
      </c>
      <c r="AN154">
        <f>($P$154) * (80)</f>
        <v>0</v>
      </c>
      <c r="AO154">
        <f>($Q$154) * (80)</f>
        <v>0</v>
      </c>
      <c r="AP154">
        <f>($R$154) * (225)</f>
        <v>0</v>
      </c>
      <c r="AQ154">
        <f>($S$154) * (80)</f>
        <v>0</v>
      </c>
      <c r="AR154">
        <f>($T$154) * (80)</f>
        <v>0</v>
      </c>
      <c r="AS154">
        <f>($U$154) * (225)</f>
        <v>0</v>
      </c>
      <c r="AT154">
        <f>($V$154) * (80)</f>
        <v>0</v>
      </c>
      <c r="AU154">
        <f>($W$154) * (80)</f>
        <v>0</v>
      </c>
      <c r="AV154">
        <f>($X$154) * (225)</f>
        <v>0</v>
      </c>
      <c r="AW154">
        <f>($Y$154) * (80)</f>
        <v>0</v>
      </c>
      <c r="AX154">
        <f>($Z$154) * (225)</f>
        <v>0</v>
      </c>
      <c r="AY154">
        <f>($AA$154) * (80)</f>
        <v>0</v>
      </c>
      <c r="AZ154">
        <f>($AB$154) * (225)</f>
        <v>0</v>
      </c>
      <c r="BA154">
        <f>($AC$154) * (80)</f>
        <v>0</v>
      </c>
      <c r="BB154">
        <f>($AD$154) * (295)</f>
        <v>0</v>
      </c>
      <c r="BC154">
        <f>($AE$154) * (365)</f>
        <v>0</v>
      </c>
      <c r="BO154">
        <v>1</v>
      </c>
      <c r="BP154">
        <f>SUM($X$154:$AD$154)</f>
        <v>0</v>
      </c>
    </row>
    <row r="155" spans="1:68" x14ac:dyDescent="0.25">
      <c r="A155">
        <v>35</v>
      </c>
      <c r="B155">
        <v>2</v>
      </c>
      <c r="C155">
        <v>8950</v>
      </c>
      <c r="D155">
        <v>2</v>
      </c>
      <c r="E155">
        <v>5</v>
      </c>
      <c r="F155" t="s">
        <v>7</v>
      </c>
      <c r="G155">
        <v>3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f>($H$155) * (225)</f>
        <v>0</v>
      </c>
      <c r="AG155">
        <f>($I$155) * (80)</f>
        <v>0</v>
      </c>
      <c r="AH155">
        <f>($J$155) * (80)</f>
        <v>0</v>
      </c>
      <c r="AI155">
        <f>($K$155) * (225)</f>
        <v>0</v>
      </c>
      <c r="AJ155">
        <f>($L$155) * (80)</f>
        <v>0</v>
      </c>
      <c r="AK155">
        <f>($M$155) * (80)</f>
        <v>0</v>
      </c>
      <c r="AL155">
        <f>($N$155) * (225)</f>
        <v>0</v>
      </c>
      <c r="AM155">
        <f>($O$155) * (225)</f>
        <v>0</v>
      </c>
      <c r="AN155">
        <f>($P$155) * (80)</f>
        <v>0</v>
      </c>
      <c r="AO155">
        <f>($Q$155) * (80)</f>
        <v>0</v>
      </c>
      <c r="AP155">
        <f>($R$155) * (295)</f>
        <v>0</v>
      </c>
      <c r="AQ155">
        <f>($S$155) * (150)</f>
        <v>0</v>
      </c>
      <c r="AR155">
        <f>($T$155) * (150)</f>
        <v>0</v>
      </c>
      <c r="AS155">
        <f>($U$155) * (365)</f>
        <v>0</v>
      </c>
      <c r="AT155">
        <f>($V$155) * (220)</f>
        <v>0</v>
      </c>
      <c r="AU155">
        <f>($W$155) * (220)</f>
        <v>0</v>
      </c>
      <c r="AV155">
        <f>($X$155) * (435)</f>
        <v>0</v>
      </c>
      <c r="AW155">
        <f>($Y$155) * (290)</f>
        <v>0</v>
      </c>
      <c r="AX155">
        <f>($Z$155) * (505)</f>
        <v>0</v>
      </c>
      <c r="AY155">
        <f>($AA$155) * (360)</f>
        <v>0</v>
      </c>
      <c r="AZ155">
        <f>($AB$155) * (575)</f>
        <v>0</v>
      </c>
      <c r="BA155">
        <f>($AC$155) * (430)</f>
        <v>0</v>
      </c>
      <c r="BB155">
        <f>($AD$155) * (645)</f>
        <v>0</v>
      </c>
      <c r="BC155">
        <f>($AE$155) * (715)</f>
        <v>0</v>
      </c>
      <c r="BO155">
        <v>1</v>
      </c>
      <c r="BP155">
        <f>SUM($N$155:$R$155)</f>
        <v>0</v>
      </c>
    </row>
    <row r="156" spans="1:68" x14ac:dyDescent="0.25">
      <c r="A156">
        <v>37</v>
      </c>
      <c r="B156">
        <v>2</v>
      </c>
      <c r="C156">
        <v>8950</v>
      </c>
      <c r="D156">
        <v>2</v>
      </c>
      <c r="E156">
        <v>7</v>
      </c>
      <c r="F156" t="s">
        <v>7</v>
      </c>
      <c r="G156">
        <v>3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f>($H$156) * (225)</f>
        <v>0</v>
      </c>
      <c r="AG156">
        <f>($I$156) * (80)</f>
        <v>0</v>
      </c>
      <c r="AH156">
        <f>($J$156) * (80)</f>
        <v>0</v>
      </c>
      <c r="AI156">
        <f>($K$156) * (225)</f>
        <v>0</v>
      </c>
      <c r="AJ156">
        <f>($L$156) * (80)</f>
        <v>0</v>
      </c>
      <c r="AK156">
        <f>($M$156) * (80)</f>
        <v>0</v>
      </c>
      <c r="AL156">
        <f>($N$156) * (225)</f>
        <v>0</v>
      </c>
      <c r="AM156">
        <f>($O$156) * (225)</f>
        <v>0</v>
      </c>
      <c r="AN156">
        <f>($P$156) * (80)</f>
        <v>0</v>
      </c>
      <c r="AO156">
        <f>($Q$156) * (80)</f>
        <v>0</v>
      </c>
      <c r="AP156">
        <f>($R$156) * (295)</f>
        <v>0</v>
      </c>
      <c r="AQ156">
        <f>($S$156) * (150)</f>
        <v>0</v>
      </c>
      <c r="AR156">
        <f>($T$156) * (150)</f>
        <v>0</v>
      </c>
      <c r="AS156">
        <f>($U$156) * (365)</f>
        <v>0</v>
      </c>
      <c r="AT156">
        <f>($V$156) * (220)</f>
        <v>0</v>
      </c>
      <c r="AU156">
        <f>($W$156) * (220)</f>
        <v>0</v>
      </c>
      <c r="AV156">
        <f>($X$156) * (435)</f>
        <v>0</v>
      </c>
      <c r="AW156">
        <f>($Y$156) * (290)</f>
        <v>0</v>
      </c>
      <c r="AX156">
        <f>($Z$156) * (505)</f>
        <v>0</v>
      </c>
      <c r="AY156">
        <f>($AA$156) * (360)</f>
        <v>0</v>
      </c>
      <c r="AZ156">
        <f>($AB$156) * (575)</f>
        <v>0</v>
      </c>
      <c r="BA156">
        <f>($AC$156) * (430)</f>
        <v>0</v>
      </c>
      <c r="BB156">
        <f>($AD$156) * (645)</f>
        <v>0</v>
      </c>
      <c r="BC156">
        <f>($AE$156) * (715)</f>
        <v>0</v>
      </c>
      <c r="BO156">
        <v>1</v>
      </c>
      <c r="BP156">
        <f>SUM($N$156:$X$156)</f>
        <v>0</v>
      </c>
    </row>
    <row r="157" spans="1:68" x14ac:dyDescent="0.25">
      <c r="A157">
        <v>40</v>
      </c>
      <c r="B157">
        <v>2</v>
      </c>
      <c r="C157">
        <v>8612</v>
      </c>
      <c r="D157">
        <v>1</v>
      </c>
      <c r="E157">
        <v>6</v>
      </c>
      <c r="F157" t="s">
        <v>7</v>
      </c>
      <c r="G157">
        <v>3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f>($H$157) * (225)</f>
        <v>0</v>
      </c>
      <c r="AG157">
        <f>($I$157) * (80)</f>
        <v>0</v>
      </c>
      <c r="AH157">
        <f>($J$157) * (80)</f>
        <v>0</v>
      </c>
      <c r="AI157">
        <f>($K$157) * (225)</f>
        <v>0</v>
      </c>
      <c r="AJ157">
        <f>($L$157) * (80)</f>
        <v>0</v>
      </c>
      <c r="AK157">
        <f>($M$157) * (80)</f>
        <v>0</v>
      </c>
      <c r="AL157">
        <f>($N$157) * (225)</f>
        <v>0</v>
      </c>
      <c r="AM157">
        <f>($O$157) * (295)</f>
        <v>0</v>
      </c>
      <c r="AN157">
        <f>($P$157) * (150)</f>
        <v>0</v>
      </c>
      <c r="AO157">
        <f>($Q$157) * (150)</f>
        <v>0</v>
      </c>
      <c r="AP157">
        <f>($R$157) * (365)</f>
        <v>0</v>
      </c>
      <c r="AQ157">
        <f>($S$157) * (220)</f>
        <v>0</v>
      </c>
      <c r="AR157">
        <f>($T$157) * (220)</f>
        <v>0</v>
      </c>
      <c r="AS157">
        <f>($U$157) * (435)</f>
        <v>0</v>
      </c>
      <c r="AT157">
        <f>($V$157) * (290)</f>
        <v>0</v>
      </c>
      <c r="AU157">
        <f>($W$157) * (290)</f>
        <v>0</v>
      </c>
      <c r="AV157">
        <f>($X$157) * (505)</f>
        <v>0</v>
      </c>
      <c r="AW157">
        <f>($Y$157) * (360)</f>
        <v>0</v>
      </c>
      <c r="AX157">
        <f>($Z$157) * (575)</f>
        <v>0</v>
      </c>
      <c r="AY157">
        <f>($AA$157) * (430)</f>
        <v>0</v>
      </c>
      <c r="AZ157">
        <f>($AB$157) * (645)</f>
        <v>0</v>
      </c>
      <c r="BA157">
        <f>($AC$157) * (500)</f>
        <v>0</v>
      </c>
      <c r="BB157">
        <f>($AD$157) * (715)</f>
        <v>0</v>
      </c>
      <c r="BC157">
        <f>($AE$157) * (785)</f>
        <v>0</v>
      </c>
      <c r="BO157">
        <v>1</v>
      </c>
      <c r="BP157">
        <f>SUM($K$157:$U$157)</f>
        <v>0</v>
      </c>
    </row>
    <row r="158" spans="1:68" x14ac:dyDescent="0.25">
      <c r="A158">
        <v>43</v>
      </c>
      <c r="B158">
        <v>2</v>
      </c>
      <c r="C158">
        <v>22950</v>
      </c>
      <c r="D158">
        <v>3</v>
      </c>
      <c r="E158">
        <v>7</v>
      </c>
      <c r="F158" t="s">
        <v>7</v>
      </c>
      <c r="G158">
        <v>4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f>($H$158) * (225)</f>
        <v>0</v>
      </c>
      <c r="AG158">
        <f>($I$158) * (80)</f>
        <v>0</v>
      </c>
      <c r="AH158">
        <f>($J$158) * (80)</f>
        <v>0</v>
      </c>
      <c r="AI158">
        <f>($K$158) * (225)</f>
        <v>0</v>
      </c>
      <c r="AJ158">
        <f>($L$158) * (80)</f>
        <v>0</v>
      </c>
      <c r="AK158">
        <f>($M$158) * (80)</f>
        <v>0</v>
      </c>
      <c r="AL158">
        <f>($N$158) * (225)</f>
        <v>0</v>
      </c>
      <c r="AM158">
        <f>($O$158) * (225)</f>
        <v>0</v>
      </c>
      <c r="AN158">
        <f>($P$158) * (80)</f>
        <v>0</v>
      </c>
      <c r="AO158">
        <f>($Q$158) * (80)</f>
        <v>0</v>
      </c>
      <c r="AP158">
        <f>($R$158) * (225)</f>
        <v>0</v>
      </c>
      <c r="AQ158">
        <f>($S$158) * (80)</f>
        <v>0</v>
      </c>
      <c r="AR158">
        <f>($T$158) * (80)</f>
        <v>0</v>
      </c>
      <c r="AS158">
        <f>($U$158) * (225)</f>
        <v>0</v>
      </c>
      <c r="AT158">
        <f>($V$158) * (80)</f>
        <v>0</v>
      </c>
      <c r="AU158">
        <f>($W$158) * (80)</f>
        <v>0</v>
      </c>
      <c r="AV158">
        <f>($X$158) * (295)</f>
        <v>0</v>
      </c>
      <c r="AW158">
        <f>($Y$158) * (150)</f>
        <v>0</v>
      </c>
      <c r="AX158">
        <f>($Z$158) * (365)</f>
        <v>0</v>
      </c>
      <c r="AY158">
        <f>($AA$158) * (220)</f>
        <v>0</v>
      </c>
      <c r="AZ158">
        <f>($AB$158) * (435)</f>
        <v>0</v>
      </c>
      <c r="BA158">
        <f>($AC$158) * (290)</f>
        <v>0</v>
      </c>
      <c r="BB158">
        <f>($AD$158) * (505)</f>
        <v>0</v>
      </c>
      <c r="BC158">
        <f>($AE$158) * (575)</f>
        <v>0</v>
      </c>
      <c r="BO158">
        <v>1</v>
      </c>
      <c r="BP158">
        <f>SUM($O$158:$X$158)</f>
        <v>0</v>
      </c>
    </row>
    <row r="159" spans="1:68" x14ac:dyDescent="0.25">
      <c r="A159">
        <v>44</v>
      </c>
      <c r="B159">
        <v>2</v>
      </c>
      <c r="C159">
        <v>22950</v>
      </c>
      <c r="D159">
        <v>0</v>
      </c>
      <c r="E159">
        <v>4</v>
      </c>
      <c r="F159" t="s">
        <v>7</v>
      </c>
      <c r="G159">
        <v>3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f>($H$159) * (225)</f>
        <v>0</v>
      </c>
      <c r="AG159">
        <f>($I$159) * (80)</f>
        <v>0</v>
      </c>
      <c r="AH159">
        <f>($J$159) * (80)</f>
        <v>0</v>
      </c>
      <c r="AI159">
        <f>($K$159) * (225)</f>
        <v>0</v>
      </c>
      <c r="AJ159">
        <f>($L$159) * (80)</f>
        <v>0</v>
      </c>
      <c r="AK159">
        <f>($M$159) * (80)</f>
        <v>0</v>
      </c>
      <c r="AL159">
        <f>($N$159) * (295)</f>
        <v>0</v>
      </c>
      <c r="AM159">
        <f>($O$159) * (365)</f>
        <v>0</v>
      </c>
      <c r="AN159">
        <f>($P$159) * (220)</f>
        <v>0</v>
      </c>
      <c r="AO159">
        <f>($Q$159) * (220)</f>
        <v>0</v>
      </c>
      <c r="AP159">
        <f>($R$159) * (435)</f>
        <v>0</v>
      </c>
      <c r="AQ159">
        <f>($S$159) * (290)</f>
        <v>0</v>
      </c>
      <c r="AR159">
        <f>($T$159) * (290)</f>
        <v>0</v>
      </c>
      <c r="AS159">
        <f>($U$159) * (505)</f>
        <v>0</v>
      </c>
      <c r="AT159">
        <f>($V$159) * (360)</f>
        <v>0</v>
      </c>
      <c r="AU159">
        <f>($W$159) * (360)</f>
        <v>0</v>
      </c>
      <c r="AV159">
        <f>($X$159) * (575)</f>
        <v>0</v>
      </c>
      <c r="AW159">
        <f>($Y$159) * (430)</f>
        <v>0</v>
      </c>
      <c r="AX159">
        <f>($Z$159) * (645)</f>
        <v>0</v>
      </c>
      <c r="AY159">
        <f>($AA$159) * (500)</f>
        <v>0</v>
      </c>
      <c r="AZ159">
        <f>($AB$159) * (715)</f>
        <v>0</v>
      </c>
      <c r="BA159">
        <f>($AC$159) * (570)</f>
        <v>0</v>
      </c>
      <c r="BB159">
        <f>($AD$159) * (785)</f>
        <v>0</v>
      </c>
      <c r="BC159">
        <f>($AE$159) * (855)</f>
        <v>0</v>
      </c>
      <c r="BO159">
        <v>1</v>
      </c>
      <c r="BP159">
        <f>SUM($H$159:$O$159)</f>
        <v>0</v>
      </c>
    </row>
    <row r="160" spans="1:68" x14ac:dyDescent="0.25">
      <c r="A160">
        <v>49</v>
      </c>
      <c r="B160">
        <v>2</v>
      </c>
      <c r="C160">
        <v>8420</v>
      </c>
      <c r="D160">
        <v>-1</v>
      </c>
      <c r="E160">
        <v>2</v>
      </c>
      <c r="F160" t="s">
        <v>7</v>
      </c>
      <c r="G160">
        <v>4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f>($H$160) * (225)</f>
        <v>0</v>
      </c>
      <c r="AG160">
        <f>($I$160) * (80)</f>
        <v>0</v>
      </c>
      <c r="AH160">
        <f>($J$160) * (80)</f>
        <v>0</v>
      </c>
      <c r="AI160">
        <f>($K$160) * (225)</f>
        <v>0</v>
      </c>
      <c r="AJ160">
        <f>($L$160) * (80)</f>
        <v>0</v>
      </c>
      <c r="AK160">
        <f>($M$160) * (80)</f>
        <v>0</v>
      </c>
      <c r="AL160">
        <f>($N$160) * (295)</f>
        <v>0</v>
      </c>
      <c r="AM160">
        <f>($O$160) * (365)</f>
        <v>0</v>
      </c>
      <c r="AN160">
        <f>($P$160) * (220)</f>
        <v>0</v>
      </c>
      <c r="AO160">
        <f>($Q$160) * (220)</f>
        <v>0</v>
      </c>
      <c r="AP160">
        <f>($R$160) * (435)</f>
        <v>0</v>
      </c>
      <c r="AQ160">
        <f>($S$160) * (290)</f>
        <v>0</v>
      </c>
      <c r="AR160">
        <f>($T$160) * (290)</f>
        <v>0</v>
      </c>
      <c r="AS160">
        <f>($U$160) * (505)</f>
        <v>0</v>
      </c>
      <c r="AT160">
        <f>($V$160) * (360)</f>
        <v>0</v>
      </c>
      <c r="AU160">
        <f>($W$160) * (360)</f>
        <v>0</v>
      </c>
      <c r="AV160">
        <f>($X$160) * (575)</f>
        <v>0</v>
      </c>
      <c r="AW160">
        <f>($Y$160) * (430)</f>
        <v>0</v>
      </c>
      <c r="AX160">
        <f>($Z$160) * (645)</f>
        <v>0</v>
      </c>
      <c r="AY160">
        <f>($AA$160) * (500)</f>
        <v>0</v>
      </c>
      <c r="AZ160">
        <f>($AB$160) * (715)</f>
        <v>0</v>
      </c>
      <c r="BA160">
        <f>($AC$160) * (570)</f>
        <v>0</v>
      </c>
      <c r="BB160">
        <f>($AD$160) * (785)</f>
        <v>0</v>
      </c>
      <c r="BC160">
        <f>($AE$160) * (855)</f>
        <v>0</v>
      </c>
      <c r="BO160">
        <v>1</v>
      </c>
      <c r="BP160">
        <f>SUM($H$160:$K$160)</f>
        <v>0</v>
      </c>
    </row>
    <row r="161" spans="1:68" x14ac:dyDescent="0.25">
      <c r="A161">
        <v>50</v>
      </c>
      <c r="B161">
        <v>2</v>
      </c>
      <c r="C161">
        <v>9361</v>
      </c>
      <c r="D161">
        <v>0</v>
      </c>
      <c r="E161">
        <v>3</v>
      </c>
      <c r="F161" t="s">
        <v>7</v>
      </c>
      <c r="G161">
        <v>4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f>($H$161) * (225)</f>
        <v>0</v>
      </c>
      <c r="AG161">
        <f>($I$161) * (80)</f>
        <v>0</v>
      </c>
      <c r="AH161">
        <f>($J$161) * (80)</f>
        <v>0</v>
      </c>
      <c r="AI161">
        <f>($K$161) * (225)</f>
        <v>0</v>
      </c>
      <c r="AJ161">
        <f>($L$161) * (80)</f>
        <v>0</v>
      </c>
      <c r="AK161">
        <f>($M$161) * (80)</f>
        <v>0</v>
      </c>
      <c r="AL161">
        <f>($N$161) * (225)</f>
        <v>0</v>
      </c>
      <c r="AM161">
        <f>($O$161) * (295)</f>
        <v>0</v>
      </c>
      <c r="AN161">
        <f>($P$161) * (150)</f>
        <v>0</v>
      </c>
      <c r="AO161">
        <f>($Q$161) * (150)</f>
        <v>0</v>
      </c>
      <c r="AP161">
        <f>($R$161) * (365)</f>
        <v>0</v>
      </c>
      <c r="AQ161">
        <f>($S$161) * (220)</f>
        <v>0</v>
      </c>
      <c r="AR161">
        <f>($T$161) * (220)</f>
        <v>0</v>
      </c>
      <c r="AS161">
        <f>($U$161) * (435)</f>
        <v>0</v>
      </c>
      <c r="AT161">
        <f>($V$161) * (290)</f>
        <v>0</v>
      </c>
      <c r="AU161">
        <f>($W$161) * (290)</f>
        <v>0</v>
      </c>
      <c r="AV161">
        <f>($X$161) * (505)</f>
        <v>0</v>
      </c>
      <c r="AW161">
        <f>($Y$161) * (360)</f>
        <v>0</v>
      </c>
      <c r="AX161">
        <f>($Z$161) * (575)</f>
        <v>0</v>
      </c>
      <c r="AY161">
        <f>($AA$161) * (430)</f>
        <v>0</v>
      </c>
      <c r="AZ161">
        <f>($AB$161) * (645)</f>
        <v>0</v>
      </c>
      <c r="BA161">
        <f>($AC$161) * (500)</f>
        <v>0</v>
      </c>
      <c r="BB161">
        <f>($AD$161) * (715)</f>
        <v>0</v>
      </c>
      <c r="BC161">
        <f>($AE$161) * (785)</f>
        <v>0</v>
      </c>
      <c r="BO161">
        <v>1</v>
      </c>
      <c r="BP161">
        <f>SUM($H$161:$N$161)</f>
        <v>0</v>
      </c>
    </row>
    <row r="162" spans="1:68" x14ac:dyDescent="0.25">
      <c r="A162">
        <v>51</v>
      </c>
      <c r="B162">
        <v>2</v>
      </c>
      <c r="C162">
        <v>8950</v>
      </c>
      <c r="D162">
        <v>1</v>
      </c>
      <c r="E162">
        <v>4</v>
      </c>
      <c r="F162" t="s">
        <v>7</v>
      </c>
      <c r="G162">
        <v>3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f>($H$162) * (225)</f>
        <v>0</v>
      </c>
      <c r="AG162">
        <f>($I$162) * (80)</f>
        <v>0</v>
      </c>
      <c r="AH162">
        <f>($J$162) * (80)</f>
        <v>0</v>
      </c>
      <c r="AI162">
        <f>($K$162) * (225)</f>
        <v>0</v>
      </c>
      <c r="AJ162">
        <f>($L$162) * (80)</f>
        <v>0</v>
      </c>
      <c r="AK162">
        <f>($M$162) * (80)</f>
        <v>0</v>
      </c>
      <c r="AL162">
        <f>($N$162) * (225)</f>
        <v>0</v>
      </c>
      <c r="AM162">
        <f>($O$162) * (295)</f>
        <v>0</v>
      </c>
      <c r="AN162">
        <f>($P$162) * (150)</f>
        <v>0</v>
      </c>
      <c r="AO162">
        <f>($Q$162) * (150)</f>
        <v>0</v>
      </c>
      <c r="AP162">
        <f>($R$162) * (365)</f>
        <v>0</v>
      </c>
      <c r="AQ162">
        <f>($S$162) * (220)</f>
        <v>0</v>
      </c>
      <c r="AR162">
        <f>($T$162) * (220)</f>
        <v>0</v>
      </c>
      <c r="AS162">
        <f>($U$162) * (435)</f>
        <v>0</v>
      </c>
      <c r="AT162">
        <f>($V$162) * (290)</f>
        <v>0</v>
      </c>
      <c r="AU162">
        <f>($W$162) * (290)</f>
        <v>0</v>
      </c>
      <c r="AV162">
        <f>($X$162) * (505)</f>
        <v>0</v>
      </c>
      <c r="AW162">
        <f>($Y$162) * (360)</f>
        <v>0</v>
      </c>
      <c r="AX162">
        <f>($Z$162) * (575)</f>
        <v>0</v>
      </c>
      <c r="AY162">
        <f>($AA$162) * (430)</f>
        <v>0</v>
      </c>
      <c r="AZ162">
        <f>($AB$162) * (645)</f>
        <v>0</v>
      </c>
      <c r="BA162">
        <f>($AC$162) * (500)</f>
        <v>0</v>
      </c>
      <c r="BB162">
        <f>($AD$162) * (715)</f>
        <v>0</v>
      </c>
      <c r="BC162">
        <f>($AE$162) * (785)</f>
        <v>0</v>
      </c>
      <c r="BO162">
        <v>1</v>
      </c>
      <c r="BP162">
        <f>SUM($K$162:$O$162)</f>
        <v>0</v>
      </c>
    </row>
    <row r="163" spans="1:68" x14ac:dyDescent="0.25">
      <c r="A163">
        <v>54</v>
      </c>
      <c r="B163">
        <v>1</v>
      </c>
      <c r="C163">
        <v>2000</v>
      </c>
      <c r="D163">
        <v>6</v>
      </c>
      <c r="E163">
        <v>9</v>
      </c>
      <c r="F163" t="s">
        <v>7</v>
      </c>
      <c r="G163">
        <v>3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f>($H$163) * (225)</f>
        <v>0</v>
      </c>
      <c r="AG163">
        <f>($I$163) * (40)</f>
        <v>0</v>
      </c>
      <c r="AH163">
        <f>($J$163) * (40)</f>
        <v>0</v>
      </c>
      <c r="AI163">
        <f>($K$163) * (225)</f>
        <v>0</v>
      </c>
      <c r="AJ163">
        <f>($L$163) * (40)</f>
        <v>0</v>
      </c>
      <c r="AK163">
        <f>($M$163) * (40)</f>
        <v>0</v>
      </c>
      <c r="AL163">
        <f>($N$163) * (225)</f>
        <v>0</v>
      </c>
      <c r="AM163">
        <f>($O$163) * (225)</f>
        <v>0</v>
      </c>
      <c r="AN163">
        <f>($P$163) * (40)</f>
        <v>0</v>
      </c>
      <c r="AO163">
        <f>($Q$163) * (40)</f>
        <v>0</v>
      </c>
      <c r="AP163">
        <f>($R$163) * (225)</f>
        <v>0</v>
      </c>
      <c r="AQ163">
        <f>($S$163) * (40)</f>
        <v>0</v>
      </c>
      <c r="AR163">
        <f>($T$163) * (40)</f>
        <v>0</v>
      </c>
      <c r="AS163">
        <f>($U$163) * (225)</f>
        <v>0</v>
      </c>
      <c r="AT163">
        <f>($V$163) * (40)</f>
        <v>0</v>
      </c>
      <c r="AU163">
        <f>($W$163) * (40)</f>
        <v>0</v>
      </c>
      <c r="AV163">
        <f>($X$163) * (225)</f>
        <v>0</v>
      </c>
      <c r="AW163">
        <f>($Y$163) * (40)</f>
        <v>0</v>
      </c>
      <c r="AX163">
        <f>($Z$163) * (225)</f>
        <v>0</v>
      </c>
      <c r="AY163">
        <f>($AA$163) * (40)</f>
        <v>0</v>
      </c>
      <c r="AZ163">
        <f>($AB$163) * (275)</f>
        <v>0</v>
      </c>
      <c r="BA163">
        <f>($AC$163) * (90)</f>
        <v>0</v>
      </c>
      <c r="BB163">
        <f>($AD$163) * (325)</f>
        <v>0</v>
      </c>
      <c r="BC163">
        <f>($AE$163) * (375)</f>
        <v>0</v>
      </c>
      <c r="BO163">
        <v>1</v>
      </c>
      <c r="BP163">
        <f>SUM($X$163:$AB$163)</f>
        <v>0</v>
      </c>
    </row>
    <row r="164" spans="1:68" x14ac:dyDescent="0.25">
      <c r="A164">
        <v>57</v>
      </c>
      <c r="B164">
        <v>2</v>
      </c>
      <c r="C164">
        <v>27418</v>
      </c>
      <c r="D164">
        <v>3</v>
      </c>
      <c r="E164">
        <v>8</v>
      </c>
      <c r="F164" t="s">
        <v>7</v>
      </c>
      <c r="G164">
        <v>5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f>($H$164) * (225)</f>
        <v>0</v>
      </c>
      <c r="AG164">
        <f>($I$164) * (80)</f>
        <v>0</v>
      </c>
      <c r="AH164">
        <f>($J$164) * (80)</f>
        <v>0</v>
      </c>
      <c r="AI164">
        <f>($K$164) * (225)</f>
        <v>0</v>
      </c>
      <c r="AJ164">
        <f>($L$164) * (80)</f>
        <v>0</v>
      </c>
      <c r="AK164">
        <f>($M$164) * (80)</f>
        <v>0</v>
      </c>
      <c r="AL164">
        <f>($N$164) * (225)</f>
        <v>0</v>
      </c>
      <c r="AM164">
        <f>($O$164) * (225)</f>
        <v>0</v>
      </c>
      <c r="AN164">
        <f>($P$164) * (80)</f>
        <v>0</v>
      </c>
      <c r="AO164">
        <f>($Q$164) * (80)</f>
        <v>0</v>
      </c>
      <c r="AP164">
        <f>($R$164) * (225)</f>
        <v>0</v>
      </c>
      <c r="AQ164">
        <f>($S$164) * (80)</f>
        <v>0</v>
      </c>
      <c r="AR164">
        <f>($T$164) * (80)</f>
        <v>0</v>
      </c>
      <c r="AS164">
        <f>($U$164) * (225)</f>
        <v>0</v>
      </c>
      <c r="AT164">
        <f>($V$164) * (80)</f>
        <v>0</v>
      </c>
      <c r="AU164">
        <f>($W$164) * (80)</f>
        <v>0</v>
      </c>
      <c r="AV164">
        <f>($X$164) * (225)</f>
        <v>0</v>
      </c>
      <c r="AW164">
        <f>($Y$164) * (80)</f>
        <v>0</v>
      </c>
      <c r="AX164">
        <f>($Z$164) * (295)</f>
        <v>0</v>
      </c>
      <c r="AY164">
        <f>($AA$164) * (150)</f>
        <v>0</v>
      </c>
      <c r="AZ164">
        <f>($AB$164) * (365)</f>
        <v>0</v>
      </c>
      <c r="BA164">
        <f>($AC$164) * (220)</f>
        <v>0</v>
      </c>
      <c r="BB164">
        <f>($AD$164) * (435)</f>
        <v>0</v>
      </c>
      <c r="BC164">
        <f>($AE$164) * (505)</f>
        <v>0</v>
      </c>
      <c r="BO164">
        <v>1</v>
      </c>
      <c r="BP164">
        <f>SUM($O$164:$Z$164)</f>
        <v>0</v>
      </c>
    </row>
    <row r="165" spans="1:68" x14ac:dyDescent="0.25">
      <c r="A165">
        <v>58</v>
      </c>
      <c r="B165">
        <v>2</v>
      </c>
      <c r="C165">
        <v>23088</v>
      </c>
      <c r="D165">
        <v>2</v>
      </c>
      <c r="E165">
        <v>5</v>
      </c>
      <c r="F165" t="s">
        <v>7</v>
      </c>
      <c r="G165">
        <v>4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f>($H$165) * (225)</f>
        <v>0</v>
      </c>
      <c r="AG165">
        <f>($I$165) * (80)</f>
        <v>0</v>
      </c>
      <c r="AH165">
        <f>($J$165) * (80)</f>
        <v>0</v>
      </c>
      <c r="AI165">
        <f>($K$165) * (225)</f>
        <v>0</v>
      </c>
      <c r="AJ165">
        <f>($L$165) * (80)</f>
        <v>0</v>
      </c>
      <c r="AK165">
        <f>($M$165) * (80)</f>
        <v>0</v>
      </c>
      <c r="AL165">
        <f>($N$165) * (225)</f>
        <v>0</v>
      </c>
      <c r="AM165">
        <f>($O$165) * (225)</f>
        <v>0</v>
      </c>
      <c r="AN165">
        <f>($P$165) * (80)</f>
        <v>0</v>
      </c>
      <c r="AO165">
        <f>($Q$165) * (80)</f>
        <v>0</v>
      </c>
      <c r="AP165">
        <f>($R$165) * (225)</f>
        <v>0</v>
      </c>
      <c r="AQ165">
        <f>($S$165) * (80)</f>
        <v>0</v>
      </c>
      <c r="AR165">
        <f>($T$165) * (80)</f>
        <v>0</v>
      </c>
      <c r="AS165">
        <f>($U$165) * (295)</f>
        <v>0</v>
      </c>
      <c r="AT165">
        <f>($V$165) * (150)</f>
        <v>0</v>
      </c>
      <c r="AU165">
        <f>($W$165) * (150)</f>
        <v>0</v>
      </c>
      <c r="AV165">
        <f>($X$165) * (365)</f>
        <v>0</v>
      </c>
      <c r="AW165">
        <f>($Y$165) * (220)</f>
        <v>0</v>
      </c>
      <c r="AX165">
        <f>($Z$165) * (435)</f>
        <v>0</v>
      </c>
      <c r="AY165">
        <f>($AA$165) * (290)</f>
        <v>0</v>
      </c>
      <c r="AZ165">
        <f>($AB$165) * (505)</f>
        <v>0</v>
      </c>
      <c r="BA165">
        <f>($AC$165) * (360)</f>
        <v>0</v>
      </c>
      <c r="BB165">
        <f>($AD$165) * (575)</f>
        <v>0</v>
      </c>
      <c r="BC165">
        <f>($AE$165) * (645)</f>
        <v>0</v>
      </c>
      <c r="BO165">
        <v>1</v>
      </c>
      <c r="BP165">
        <f>SUM($N$165:$R$165)</f>
        <v>0</v>
      </c>
    </row>
    <row r="166" spans="1:68" x14ac:dyDescent="0.25">
      <c r="A166">
        <v>60</v>
      </c>
      <c r="B166">
        <v>2</v>
      </c>
      <c r="C166">
        <v>14200</v>
      </c>
      <c r="D166">
        <v>3</v>
      </c>
      <c r="E166">
        <v>8</v>
      </c>
      <c r="F166" t="s">
        <v>7</v>
      </c>
      <c r="G166">
        <v>3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f>($H$166) * (225)</f>
        <v>0</v>
      </c>
      <c r="AG166">
        <f>($I$166) * (80)</f>
        <v>0</v>
      </c>
      <c r="AH166">
        <f>($J$166) * (80)</f>
        <v>0</v>
      </c>
      <c r="AI166">
        <f>($K$166) * (225)</f>
        <v>0</v>
      </c>
      <c r="AJ166">
        <f>($L$166) * (80)</f>
        <v>0</v>
      </c>
      <c r="AK166">
        <f>($M$166) * (80)</f>
        <v>0</v>
      </c>
      <c r="AL166">
        <f>($N$166) * (225)</f>
        <v>0</v>
      </c>
      <c r="AM166">
        <f>($O$166) * (225)</f>
        <v>0</v>
      </c>
      <c r="AN166">
        <f>($P$166) * (80)</f>
        <v>0</v>
      </c>
      <c r="AO166">
        <f>($Q$166) * (80)</f>
        <v>0</v>
      </c>
      <c r="AP166">
        <f>($R$166) * (225)</f>
        <v>0</v>
      </c>
      <c r="AQ166">
        <f>($S$166) * (80)</f>
        <v>0</v>
      </c>
      <c r="AR166">
        <f>($T$166) * (80)</f>
        <v>0</v>
      </c>
      <c r="AS166">
        <f>($U$166) * (295)</f>
        <v>0</v>
      </c>
      <c r="AT166">
        <f>($V$166) * (150)</f>
        <v>0</v>
      </c>
      <c r="AU166">
        <f>($W$166) * (150)</f>
        <v>0</v>
      </c>
      <c r="AV166">
        <f>($X$166) * (365)</f>
        <v>0</v>
      </c>
      <c r="AW166">
        <f>($Y$166) * (220)</f>
        <v>0</v>
      </c>
      <c r="AX166">
        <f>($Z$166) * (435)</f>
        <v>0</v>
      </c>
      <c r="AY166">
        <f>($AA$166) * (290)</f>
        <v>0</v>
      </c>
      <c r="AZ166">
        <f>($AB$166) * (505)</f>
        <v>0</v>
      </c>
      <c r="BA166">
        <f>($AC$166) * (360)</f>
        <v>0</v>
      </c>
      <c r="BB166">
        <f>($AD$166) * (575)</f>
        <v>0</v>
      </c>
      <c r="BC166">
        <f>($AE$166) * (645)</f>
        <v>0</v>
      </c>
      <c r="BO166">
        <v>1</v>
      </c>
      <c r="BP166">
        <f>SUM($O$166:$Z$166)</f>
        <v>0</v>
      </c>
    </row>
    <row r="167" spans="1:68" x14ac:dyDescent="0.25">
      <c r="A167">
        <v>61</v>
      </c>
      <c r="B167">
        <v>2</v>
      </c>
      <c r="C167">
        <v>22440</v>
      </c>
      <c r="D167">
        <v>2</v>
      </c>
      <c r="E167">
        <v>6</v>
      </c>
      <c r="F167" t="s">
        <v>7</v>
      </c>
      <c r="G167">
        <v>5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f>($H$167) * (225)</f>
        <v>0</v>
      </c>
      <c r="AG167">
        <f>($I$167) * (80)</f>
        <v>0</v>
      </c>
      <c r="AH167">
        <f>($J$167) * (80)</f>
        <v>0</v>
      </c>
      <c r="AI167">
        <f>($K$167) * (225)</f>
        <v>0</v>
      </c>
      <c r="AJ167">
        <f>($L$167) * (80)</f>
        <v>0</v>
      </c>
      <c r="AK167">
        <f>($M$167) * (80)</f>
        <v>0</v>
      </c>
      <c r="AL167">
        <f>($N$167) * (225)</f>
        <v>0</v>
      </c>
      <c r="AM167">
        <f>($O$167) * (225)</f>
        <v>0</v>
      </c>
      <c r="AN167">
        <f>($P$167) * (80)</f>
        <v>0</v>
      </c>
      <c r="AO167">
        <f>($Q$167) * (80)</f>
        <v>0</v>
      </c>
      <c r="AP167">
        <f>($R$167) * (225)</f>
        <v>0</v>
      </c>
      <c r="AQ167">
        <f>($S$167) * (80)</f>
        <v>0</v>
      </c>
      <c r="AR167">
        <f>($T$167) * (80)</f>
        <v>0</v>
      </c>
      <c r="AS167">
        <f>($U$167) * (225)</f>
        <v>0</v>
      </c>
      <c r="AT167">
        <f>($V$167) * (80)</f>
        <v>0</v>
      </c>
      <c r="AU167">
        <f>($W$167) * (80)</f>
        <v>0</v>
      </c>
      <c r="AV167">
        <f>($X$167) * (295)</f>
        <v>0</v>
      </c>
      <c r="AW167">
        <f>($Y$167) * (150)</f>
        <v>0</v>
      </c>
      <c r="AX167">
        <f>($Z$167) * (365)</f>
        <v>0</v>
      </c>
      <c r="AY167">
        <f>($AA$167) * (220)</f>
        <v>0</v>
      </c>
      <c r="AZ167">
        <f>($AB$167) * (435)</f>
        <v>0</v>
      </c>
      <c r="BA167">
        <f>($AC$167) * (290)</f>
        <v>0</v>
      </c>
      <c r="BB167">
        <f>($AD$167) * (505)</f>
        <v>0</v>
      </c>
      <c r="BC167">
        <f>($AE$167) * (575)</f>
        <v>0</v>
      </c>
      <c r="BO167">
        <v>1</v>
      </c>
      <c r="BP167">
        <f>SUM($N$167:$U$167)</f>
        <v>0</v>
      </c>
    </row>
    <row r="168" spans="1:68" x14ac:dyDescent="0.25">
      <c r="A168">
        <v>62</v>
      </c>
      <c r="B168">
        <v>2</v>
      </c>
      <c r="C168">
        <v>12068</v>
      </c>
      <c r="D168">
        <v>3</v>
      </c>
      <c r="E168">
        <v>7</v>
      </c>
      <c r="F168" t="s">
        <v>7</v>
      </c>
      <c r="G168">
        <v>4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f>($H$168) * (225)</f>
        <v>0</v>
      </c>
      <c r="AG168">
        <f>($I$168) * (80)</f>
        <v>0</v>
      </c>
      <c r="AH168">
        <f>($J$168) * (80)</f>
        <v>0</v>
      </c>
      <c r="AI168">
        <f>($K$168) * (225)</f>
        <v>0</v>
      </c>
      <c r="AJ168">
        <f>($L$168) * (80)</f>
        <v>0</v>
      </c>
      <c r="AK168">
        <f>($M$168) * (80)</f>
        <v>0</v>
      </c>
      <c r="AL168">
        <f>($N$168) * (225)</f>
        <v>0</v>
      </c>
      <c r="AM168">
        <f>($O$168) * (225)</f>
        <v>0</v>
      </c>
      <c r="AN168">
        <f>($P$168) * (80)</f>
        <v>0</v>
      </c>
      <c r="AO168">
        <f>($Q$168) * (80)</f>
        <v>0</v>
      </c>
      <c r="AP168">
        <f>($R$168) * (225)</f>
        <v>0</v>
      </c>
      <c r="AQ168">
        <f>($S$168) * (80)</f>
        <v>0</v>
      </c>
      <c r="AR168">
        <f>($T$168) * (80)</f>
        <v>0</v>
      </c>
      <c r="AS168">
        <f>($U$168) * (225)</f>
        <v>0</v>
      </c>
      <c r="AT168">
        <f>($V$168) * (80)</f>
        <v>0</v>
      </c>
      <c r="AU168">
        <f>($W$168) * (80)</f>
        <v>0</v>
      </c>
      <c r="AV168">
        <f>($X$168) * (295)</f>
        <v>0</v>
      </c>
      <c r="AW168">
        <f>($Y$168) * (150)</f>
        <v>0</v>
      </c>
      <c r="AX168">
        <f>($Z$168) * (365)</f>
        <v>0</v>
      </c>
      <c r="AY168">
        <f>($AA$168) * (220)</f>
        <v>0</v>
      </c>
      <c r="AZ168">
        <f>($AB$168) * (435)</f>
        <v>0</v>
      </c>
      <c r="BA168">
        <f>($AC$168) * (290)</f>
        <v>0</v>
      </c>
      <c r="BB168">
        <f>($AD$168) * (505)</f>
        <v>0</v>
      </c>
      <c r="BC168">
        <f>($AE$168) * (575)</f>
        <v>0</v>
      </c>
      <c r="BO168">
        <v>1</v>
      </c>
      <c r="BP168">
        <f>SUM($O$168:$X$168)</f>
        <v>0</v>
      </c>
    </row>
    <row r="169" spans="1:68" x14ac:dyDescent="0.25">
      <c r="A169">
        <v>64</v>
      </c>
      <c r="B169">
        <v>2</v>
      </c>
      <c r="C169">
        <v>9200</v>
      </c>
      <c r="D169">
        <v>5</v>
      </c>
      <c r="E169">
        <v>8</v>
      </c>
      <c r="F169" t="s">
        <v>7</v>
      </c>
      <c r="G169">
        <v>3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f>($H$169) * (225)</f>
        <v>0</v>
      </c>
      <c r="AG169">
        <f>($I$169) * (80)</f>
        <v>0</v>
      </c>
      <c r="AH169">
        <f>($J$169) * (80)</f>
        <v>0</v>
      </c>
      <c r="AI169">
        <f>($K$169) * (225)</f>
        <v>0</v>
      </c>
      <c r="AJ169">
        <f>($L$169) * (80)</f>
        <v>0</v>
      </c>
      <c r="AK169">
        <f>($M$169) * (80)</f>
        <v>0</v>
      </c>
      <c r="AL169">
        <f>($N$169) * (225)</f>
        <v>0</v>
      </c>
      <c r="AM169">
        <f>($O$169) * (225)</f>
        <v>0</v>
      </c>
      <c r="AN169">
        <f>($P$169) * (80)</f>
        <v>0</v>
      </c>
      <c r="AO169">
        <f>($Q$169) * (80)</f>
        <v>0</v>
      </c>
      <c r="AP169">
        <f>($R$169) * (225)</f>
        <v>0</v>
      </c>
      <c r="AQ169">
        <f>($S$169) * (80)</f>
        <v>0</v>
      </c>
      <c r="AR169">
        <f>($T$169) * (80)</f>
        <v>0</v>
      </c>
      <c r="AS169">
        <f>($U$169) * (225)</f>
        <v>0</v>
      </c>
      <c r="AT169">
        <f>($V$169) * (80)</f>
        <v>0</v>
      </c>
      <c r="AU169">
        <f>($W$169) * (80)</f>
        <v>0</v>
      </c>
      <c r="AV169">
        <f>($X$169) * (225)</f>
        <v>0</v>
      </c>
      <c r="AW169">
        <f>($Y$169) * (80)</f>
        <v>0</v>
      </c>
      <c r="AX169">
        <f>($Z$169) * (295)</f>
        <v>0</v>
      </c>
      <c r="AY169">
        <f>($AA$169) * (150)</f>
        <v>0</v>
      </c>
      <c r="AZ169">
        <f>($AB$169) * (365)</f>
        <v>0</v>
      </c>
      <c r="BA169">
        <f>($AC$169) * (220)</f>
        <v>0</v>
      </c>
      <c r="BB169">
        <f>($AD$169) * (435)</f>
        <v>0</v>
      </c>
      <c r="BC169">
        <f>($AE$169) * (505)</f>
        <v>0</v>
      </c>
      <c r="BO169">
        <v>1</v>
      </c>
      <c r="BP169">
        <f>SUM($U$169:$Z$169)</f>
        <v>0</v>
      </c>
    </row>
    <row r="170" spans="1:68" x14ac:dyDescent="0.25">
      <c r="A170">
        <v>72</v>
      </c>
      <c r="B170">
        <v>2</v>
      </c>
      <c r="C170">
        <v>23950</v>
      </c>
      <c r="D170">
        <v>3</v>
      </c>
      <c r="E170">
        <v>6</v>
      </c>
      <c r="F170" t="s">
        <v>7</v>
      </c>
      <c r="G170">
        <v>2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f>($H$170) * (225)</f>
        <v>0</v>
      </c>
      <c r="AG170">
        <f>($I$170) * (80)</f>
        <v>0</v>
      </c>
      <c r="AH170">
        <f>($J$170) * (80)</f>
        <v>0</v>
      </c>
      <c r="AI170">
        <f>($K$170) * (225)</f>
        <v>0</v>
      </c>
      <c r="AJ170">
        <f>($L$170) * (80)</f>
        <v>0</v>
      </c>
      <c r="AK170">
        <f>($M$170) * (80)</f>
        <v>0</v>
      </c>
      <c r="AL170">
        <f>($N$170) * (225)</f>
        <v>0</v>
      </c>
      <c r="AM170">
        <f>($O$170) * (225)</f>
        <v>0</v>
      </c>
      <c r="AN170">
        <f>($P$170) * (80)</f>
        <v>0</v>
      </c>
      <c r="AO170">
        <f>($Q$170) * (80)</f>
        <v>0</v>
      </c>
      <c r="AP170">
        <f>($R$170) * (295)</f>
        <v>0</v>
      </c>
      <c r="AQ170">
        <f>($S$170) * (150)</f>
        <v>0</v>
      </c>
      <c r="AR170">
        <f>($T$170) * (150)</f>
        <v>0</v>
      </c>
      <c r="AS170">
        <f>($U$170) * (365)</f>
        <v>0</v>
      </c>
      <c r="AT170">
        <f>($V$170) * (220)</f>
        <v>0</v>
      </c>
      <c r="AU170">
        <f>($W$170) * (220)</f>
        <v>0</v>
      </c>
      <c r="AV170">
        <f>($X$170) * (435)</f>
        <v>0</v>
      </c>
      <c r="AW170">
        <f>($Y$170) * (290)</f>
        <v>0</v>
      </c>
      <c r="AX170">
        <f>($Z$170) * (505)</f>
        <v>0</v>
      </c>
      <c r="AY170">
        <f>($AA$170) * (360)</f>
        <v>0</v>
      </c>
      <c r="AZ170">
        <f>($AB$170) * (575)</f>
        <v>0</v>
      </c>
      <c r="BA170">
        <f>($AC$170) * (430)</f>
        <v>0</v>
      </c>
      <c r="BB170">
        <f>($AD$170) * (645)</f>
        <v>0</v>
      </c>
      <c r="BC170">
        <f>($AE$170) * (715)</f>
        <v>0</v>
      </c>
      <c r="BO170">
        <v>1</v>
      </c>
      <c r="BP170">
        <f>SUM($O$170:$U$170)</f>
        <v>0</v>
      </c>
    </row>
    <row r="171" spans="1:68" x14ac:dyDescent="0.25">
      <c r="A171">
        <v>76</v>
      </c>
      <c r="B171">
        <v>2</v>
      </c>
      <c r="C171">
        <v>6318</v>
      </c>
      <c r="D171">
        <v>3</v>
      </c>
      <c r="E171">
        <v>8</v>
      </c>
      <c r="F171" t="s">
        <v>7</v>
      </c>
      <c r="G171">
        <v>4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f>($H$171) * (225)</f>
        <v>0</v>
      </c>
      <c r="AG171">
        <f>($I$171) * (80)</f>
        <v>0</v>
      </c>
      <c r="AH171">
        <f>($J$171) * (80)</f>
        <v>0</v>
      </c>
      <c r="AI171">
        <f>($K$171) * (225)</f>
        <v>0</v>
      </c>
      <c r="AJ171">
        <f>($L$171) * (80)</f>
        <v>0</v>
      </c>
      <c r="AK171">
        <f>($M$171) * (80)</f>
        <v>0</v>
      </c>
      <c r="AL171">
        <f>($N$171) * (225)</f>
        <v>0</v>
      </c>
      <c r="AM171">
        <f>($O$171) * (225)</f>
        <v>0</v>
      </c>
      <c r="AN171">
        <f>($P$171) * (80)</f>
        <v>0</v>
      </c>
      <c r="AO171">
        <f>($Q$171) * (80)</f>
        <v>0</v>
      </c>
      <c r="AP171">
        <f>($R$171) * (225)</f>
        <v>0</v>
      </c>
      <c r="AQ171">
        <f>($S$171) * (80)</f>
        <v>0</v>
      </c>
      <c r="AR171">
        <f>($T$171) * (80)</f>
        <v>0</v>
      </c>
      <c r="AS171">
        <f>($U$171) * (225)</f>
        <v>0</v>
      </c>
      <c r="AT171">
        <f>($V$171) * (80)</f>
        <v>0</v>
      </c>
      <c r="AU171">
        <f>($W$171) * (80)</f>
        <v>0</v>
      </c>
      <c r="AV171">
        <f>($X$171) * (295)</f>
        <v>0</v>
      </c>
      <c r="AW171">
        <f>($Y$171) * (150)</f>
        <v>0</v>
      </c>
      <c r="AX171">
        <f>($Z$171) * (365)</f>
        <v>0</v>
      </c>
      <c r="AY171">
        <f>($AA$171) * (220)</f>
        <v>0</v>
      </c>
      <c r="AZ171">
        <f>($AB$171) * (435)</f>
        <v>0</v>
      </c>
      <c r="BA171">
        <f>($AC$171) * (290)</f>
        <v>0</v>
      </c>
      <c r="BB171">
        <f>($AD$171) * (505)</f>
        <v>0</v>
      </c>
      <c r="BC171">
        <f>($AE$171) * (575)</f>
        <v>0</v>
      </c>
      <c r="BO171">
        <v>1</v>
      </c>
      <c r="BP171">
        <f>SUM($O$171:$Z$171)</f>
        <v>0</v>
      </c>
    </row>
    <row r="172" spans="1:68" x14ac:dyDescent="0.25">
      <c r="A172">
        <v>77</v>
      </c>
      <c r="B172">
        <v>2</v>
      </c>
      <c r="C172">
        <v>24200</v>
      </c>
      <c r="D172">
        <v>0</v>
      </c>
      <c r="E172">
        <v>4</v>
      </c>
      <c r="F172" t="s">
        <v>7</v>
      </c>
      <c r="G172">
        <v>5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f>($H$172) * (225)</f>
        <v>0</v>
      </c>
      <c r="AG172">
        <f>($I$172) * (80)</f>
        <v>0</v>
      </c>
      <c r="AH172">
        <f>($J$172) * (80)</f>
        <v>0</v>
      </c>
      <c r="AI172">
        <f>($K$172) * (225)</f>
        <v>0</v>
      </c>
      <c r="AJ172">
        <f>($L$172) * (80)</f>
        <v>0</v>
      </c>
      <c r="AK172">
        <f>($M$172) * (80)</f>
        <v>0</v>
      </c>
      <c r="AL172">
        <f>($N$172) * (225)</f>
        <v>0</v>
      </c>
      <c r="AM172">
        <f>($O$172) * (225)</f>
        <v>0</v>
      </c>
      <c r="AN172">
        <f>($P$172) * (80)</f>
        <v>0</v>
      </c>
      <c r="AO172">
        <f>($Q$172) * (80)</f>
        <v>0</v>
      </c>
      <c r="AP172">
        <f>($R$172) * (295)</f>
        <v>0</v>
      </c>
      <c r="AQ172">
        <f>($S$172) * (150)</f>
        <v>0</v>
      </c>
      <c r="AR172">
        <f>($T$172) * (150)</f>
        <v>0</v>
      </c>
      <c r="AS172">
        <f>($U$172) * (365)</f>
        <v>0</v>
      </c>
      <c r="AT172">
        <f>($V$172) * (220)</f>
        <v>0</v>
      </c>
      <c r="AU172">
        <f>($W$172) * (220)</f>
        <v>0</v>
      </c>
      <c r="AV172">
        <f>($X$172) * (435)</f>
        <v>0</v>
      </c>
      <c r="AW172">
        <f>($Y$172) * (290)</f>
        <v>0</v>
      </c>
      <c r="AX172">
        <f>($Z$172) * (505)</f>
        <v>0</v>
      </c>
      <c r="AY172">
        <f>($AA$172) * (360)</f>
        <v>0</v>
      </c>
      <c r="AZ172">
        <f>($AB$172) * (575)</f>
        <v>0</v>
      </c>
      <c r="BA172">
        <f>($AC$172) * (430)</f>
        <v>0</v>
      </c>
      <c r="BB172">
        <f>($AD$172) * (645)</f>
        <v>0</v>
      </c>
      <c r="BC172">
        <f>($AE$172) * (715)</f>
        <v>0</v>
      </c>
      <c r="BO172">
        <v>1</v>
      </c>
      <c r="BP172">
        <f>SUM($H$172:$O$172)</f>
        <v>0</v>
      </c>
    </row>
    <row r="173" spans="1:68" x14ac:dyDescent="0.25">
      <c r="A173">
        <v>78</v>
      </c>
      <c r="B173">
        <v>2</v>
      </c>
      <c r="C173">
        <v>24200</v>
      </c>
      <c r="D173">
        <v>2</v>
      </c>
      <c r="E173">
        <v>6</v>
      </c>
      <c r="F173" t="s">
        <v>7</v>
      </c>
      <c r="G173">
        <v>3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f>($H$173) * (225)</f>
        <v>0</v>
      </c>
      <c r="AG173">
        <f>($I$173) * (80)</f>
        <v>0</v>
      </c>
      <c r="AH173">
        <f>($J$173) * (80)</f>
        <v>0</v>
      </c>
      <c r="AI173">
        <f>($K$173) * (225)</f>
        <v>0</v>
      </c>
      <c r="AJ173">
        <f>($L$173) * (80)</f>
        <v>0</v>
      </c>
      <c r="AK173">
        <f>($M$173) * (80)</f>
        <v>0</v>
      </c>
      <c r="AL173">
        <f>($N$173) * (225)</f>
        <v>0</v>
      </c>
      <c r="AM173">
        <f>($O$173) * (225)</f>
        <v>0</v>
      </c>
      <c r="AN173">
        <f>($P$173) * (80)</f>
        <v>0</v>
      </c>
      <c r="AO173">
        <f>($Q$173) * (80)</f>
        <v>0</v>
      </c>
      <c r="AP173">
        <f>($R$173) * (295)</f>
        <v>0</v>
      </c>
      <c r="AQ173">
        <f>($S$173) * (150)</f>
        <v>0</v>
      </c>
      <c r="AR173">
        <f>($T$173) * (150)</f>
        <v>0</v>
      </c>
      <c r="AS173">
        <f>($U$173) * (365)</f>
        <v>0</v>
      </c>
      <c r="AT173">
        <f>($V$173) * (220)</f>
        <v>0</v>
      </c>
      <c r="AU173">
        <f>($W$173) * (220)</f>
        <v>0</v>
      </c>
      <c r="AV173">
        <f>($X$173) * (435)</f>
        <v>0</v>
      </c>
      <c r="AW173">
        <f>($Y$173) * (290)</f>
        <v>0</v>
      </c>
      <c r="AX173">
        <f>($Z$173) * (505)</f>
        <v>0</v>
      </c>
      <c r="AY173">
        <f>($AA$173) * (360)</f>
        <v>0</v>
      </c>
      <c r="AZ173">
        <f>($AB$173) * (575)</f>
        <v>0</v>
      </c>
      <c r="BA173">
        <f>($AC$173) * (430)</f>
        <v>0</v>
      </c>
      <c r="BB173">
        <f>($AD$173) * (645)</f>
        <v>0</v>
      </c>
      <c r="BC173">
        <f>($AE$173) * (715)</f>
        <v>0</v>
      </c>
      <c r="BO173">
        <v>1</v>
      </c>
      <c r="BP173">
        <f>SUM($N$173:$U$173)</f>
        <v>0</v>
      </c>
    </row>
    <row r="174" spans="1:68" x14ac:dyDescent="0.25">
      <c r="A174">
        <v>86</v>
      </c>
      <c r="B174">
        <v>2</v>
      </c>
      <c r="C174">
        <v>10331</v>
      </c>
      <c r="D174">
        <v>3</v>
      </c>
      <c r="E174">
        <v>8</v>
      </c>
      <c r="F174" t="s">
        <v>7</v>
      </c>
      <c r="G174">
        <v>5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f>($H$174) * (225)</f>
        <v>0</v>
      </c>
      <c r="AG174">
        <f>($I$174) * (80)</f>
        <v>0</v>
      </c>
      <c r="AH174">
        <f>($J$174) * (80)</f>
        <v>0</v>
      </c>
      <c r="AI174">
        <f>($K$174) * (225)</f>
        <v>0</v>
      </c>
      <c r="AJ174">
        <f>($L$174) * (80)</f>
        <v>0</v>
      </c>
      <c r="AK174">
        <f>($M$174) * (80)</f>
        <v>0</v>
      </c>
      <c r="AL174">
        <f>($N$174) * (225)</f>
        <v>0</v>
      </c>
      <c r="AM174">
        <f>($O$174) * (225)</f>
        <v>0</v>
      </c>
      <c r="AN174">
        <f>($P$174) * (80)</f>
        <v>0</v>
      </c>
      <c r="AO174">
        <f>($Q$174) * (80)</f>
        <v>0</v>
      </c>
      <c r="AP174">
        <f>($R$174) * (225)</f>
        <v>0</v>
      </c>
      <c r="AQ174">
        <f>($S$174) * (80)</f>
        <v>0</v>
      </c>
      <c r="AR174">
        <f>($T$174) * (80)</f>
        <v>0</v>
      </c>
      <c r="AS174">
        <f>($U$174) * (225)</f>
        <v>0</v>
      </c>
      <c r="AT174">
        <f>($V$174) * (80)</f>
        <v>0</v>
      </c>
      <c r="AU174">
        <f>($W$174) * (80)</f>
        <v>0</v>
      </c>
      <c r="AV174">
        <f>($X$174) * (225)</f>
        <v>0</v>
      </c>
      <c r="AW174">
        <f>($Y$174) * (80)</f>
        <v>0</v>
      </c>
      <c r="AX174">
        <f>($Z$174) * (295)</f>
        <v>0</v>
      </c>
      <c r="AY174">
        <f>($AA$174) * (150)</f>
        <v>0</v>
      </c>
      <c r="AZ174">
        <f>($AB$174) * (365)</f>
        <v>0</v>
      </c>
      <c r="BA174">
        <f>($AC$174) * (220)</f>
        <v>0</v>
      </c>
      <c r="BB174">
        <f>($AD$174) * (435)</f>
        <v>0</v>
      </c>
      <c r="BC174">
        <f>($AE$174) * (505)</f>
        <v>0</v>
      </c>
      <c r="BO174">
        <v>1</v>
      </c>
      <c r="BP174">
        <f>SUM($O$174:$Z$174)</f>
        <v>0</v>
      </c>
    </row>
    <row r="175" spans="1:68" x14ac:dyDescent="0.25">
      <c r="A175">
        <v>87</v>
      </c>
      <c r="B175">
        <v>2</v>
      </c>
      <c r="C175">
        <v>23460</v>
      </c>
      <c r="D175">
        <v>3</v>
      </c>
      <c r="E175">
        <v>8</v>
      </c>
      <c r="F175" t="s">
        <v>7</v>
      </c>
      <c r="G175">
        <v>3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f>($H$175) * (225)</f>
        <v>0</v>
      </c>
      <c r="AG175">
        <f>($I$175) * (80)</f>
        <v>0</v>
      </c>
      <c r="AH175">
        <f>($J$175) * (80)</f>
        <v>0</v>
      </c>
      <c r="AI175">
        <f>($K$175) * (225)</f>
        <v>0</v>
      </c>
      <c r="AJ175">
        <f>($L$175) * (80)</f>
        <v>0</v>
      </c>
      <c r="AK175">
        <f>($M$175) * (80)</f>
        <v>0</v>
      </c>
      <c r="AL175">
        <f>($N$175) * (225)</f>
        <v>0</v>
      </c>
      <c r="AM175">
        <f>($O$175) * (225)</f>
        <v>0</v>
      </c>
      <c r="AN175">
        <f>($P$175) * (80)</f>
        <v>0</v>
      </c>
      <c r="AO175">
        <f>($Q$175) * (80)</f>
        <v>0</v>
      </c>
      <c r="AP175">
        <f>($R$175) * (225)</f>
        <v>0</v>
      </c>
      <c r="AQ175">
        <f>($S$175) * (80)</f>
        <v>0</v>
      </c>
      <c r="AR175">
        <f>($T$175) * (80)</f>
        <v>0</v>
      </c>
      <c r="AS175">
        <f>($U$175) * (295)</f>
        <v>0</v>
      </c>
      <c r="AT175">
        <f>($V$175) * (150)</f>
        <v>0</v>
      </c>
      <c r="AU175">
        <f>($W$175) * (150)</f>
        <v>0</v>
      </c>
      <c r="AV175">
        <f>($X$175) * (365)</f>
        <v>0</v>
      </c>
      <c r="AW175">
        <f>($Y$175) * (220)</f>
        <v>0</v>
      </c>
      <c r="AX175">
        <f>($Z$175) * (435)</f>
        <v>0</v>
      </c>
      <c r="AY175">
        <f>($AA$175) * (290)</f>
        <v>0</v>
      </c>
      <c r="AZ175">
        <f>($AB$175) * (505)</f>
        <v>0</v>
      </c>
      <c r="BA175">
        <f>($AC$175) * (360)</f>
        <v>0</v>
      </c>
      <c r="BB175">
        <f>($AD$175) * (575)</f>
        <v>0</v>
      </c>
      <c r="BC175">
        <f>($AE$175) * (645)</f>
        <v>0</v>
      </c>
      <c r="BO175">
        <v>1</v>
      </c>
      <c r="BP175">
        <f>SUM($O$175:$Z$175)</f>
        <v>0</v>
      </c>
    </row>
    <row r="176" spans="1:68" x14ac:dyDescent="0.25">
      <c r="A176">
        <v>92</v>
      </c>
      <c r="B176">
        <v>2</v>
      </c>
      <c r="C176">
        <v>29100</v>
      </c>
      <c r="D176">
        <v>0</v>
      </c>
      <c r="E176">
        <v>4</v>
      </c>
      <c r="F176" t="s">
        <v>7</v>
      </c>
      <c r="G176">
        <v>2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f>($H$176) * (225)</f>
        <v>0</v>
      </c>
      <c r="AG176">
        <f>($I$176) * (80)</f>
        <v>0</v>
      </c>
      <c r="AH176">
        <f>($J$176) * (80)</f>
        <v>0</v>
      </c>
      <c r="AI176">
        <f>($K$176) * (295)</f>
        <v>0</v>
      </c>
      <c r="AJ176">
        <f>($L$176) * (150)</f>
        <v>0</v>
      </c>
      <c r="AK176">
        <f>($M$176) * (150)</f>
        <v>0</v>
      </c>
      <c r="AL176">
        <f>($N$176) * (365)</f>
        <v>0</v>
      </c>
      <c r="AM176">
        <f>($O$176) * (435)</f>
        <v>0</v>
      </c>
      <c r="AN176">
        <f>($P$176) * (290)</f>
        <v>0</v>
      </c>
      <c r="AO176">
        <f>($Q$176) * (290)</f>
        <v>0</v>
      </c>
      <c r="AP176">
        <f>($R$176) * (505)</f>
        <v>0</v>
      </c>
      <c r="AQ176">
        <f>($S$176) * (360)</f>
        <v>0</v>
      </c>
      <c r="AR176">
        <f>($T$176) * (360)</f>
        <v>0</v>
      </c>
      <c r="AS176">
        <f>($U$176) * (575)</f>
        <v>0</v>
      </c>
      <c r="AT176">
        <f>($V$176) * (430)</f>
        <v>0</v>
      </c>
      <c r="AU176">
        <f>($W$176) * (430)</f>
        <v>0</v>
      </c>
      <c r="AV176">
        <f>($X$176) * (645)</f>
        <v>0</v>
      </c>
      <c r="AW176">
        <f>($Y$176) * (500)</f>
        <v>0</v>
      </c>
      <c r="AX176">
        <f>($Z$176) * (715)</f>
        <v>0</v>
      </c>
      <c r="AY176">
        <f>($AA$176) * (570)</f>
        <v>0</v>
      </c>
      <c r="AZ176">
        <f>($AB$176) * (785)</f>
        <v>0</v>
      </c>
      <c r="BA176">
        <f>($AC$176) * (640)</f>
        <v>0</v>
      </c>
      <c r="BB176">
        <f>($AD$176) * (855)</f>
        <v>0</v>
      </c>
      <c r="BC176">
        <f>($AE$176) * (925)</f>
        <v>0</v>
      </c>
      <c r="BO176">
        <v>1</v>
      </c>
      <c r="BP176">
        <f>SUM($H$176:$O$176)</f>
        <v>0</v>
      </c>
    </row>
    <row r="177" spans="1:68" x14ac:dyDescent="0.25">
      <c r="A177">
        <v>93</v>
      </c>
      <c r="B177">
        <v>2</v>
      </c>
      <c r="C177">
        <v>12364</v>
      </c>
      <c r="D177">
        <v>4</v>
      </c>
      <c r="E177">
        <v>8</v>
      </c>
      <c r="F177" t="s">
        <v>7</v>
      </c>
      <c r="G177">
        <v>3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f>($H$177) * (225)</f>
        <v>0</v>
      </c>
      <c r="AG177">
        <f>($I$177) * (80)</f>
        <v>0</v>
      </c>
      <c r="AH177">
        <f>($J$177) * (80)</f>
        <v>0</v>
      </c>
      <c r="AI177">
        <f>($K$177) * (225)</f>
        <v>0</v>
      </c>
      <c r="AJ177">
        <f>($L$177) * (80)</f>
        <v>0</v>
      </c>
      <c r="AK177">
        <f>($M$177) * (80)</f>
        <v>0</v>
      </c>
      <c r="AL177">
        <f>($N$177) * (225)</f>
        <v>0</v>
      </c>
      <c r="AM177">
        <f>($O$177) * (225)</f>
        <v>0</v>
      </c>
      <c r="AN177">
        <f>($P$177) * (80)</f>
        <v>0</v>
      </c>
      <c r="AO177">
        <f>($Q$177) * (80)</f>
        <v>0</v>
      </c>
      <c r="AP177">
        <f>($R$177) * (225)</f>
        <v>0</v>
      </c>
      <c r="AQ177">
        <f>($S$177) * (80)</f>
        <v>0</v>
      </c>
      <c r="AR177">
        <f>($T$177) * (80)</f>
        <v>0</v>
      </c>
      <c r="AS177">
        <f>($U$177) * (225)</f>
        <v>0</v>
      </c>
      <c r="AT177">
        <f>($V$177) * (80)</f>
        <v>0</v>
      </c>
      <c r="AU177">
        <f>($W$177) * (80)</f>
        <v>0</v>
      </c>
      <c r="AV177">
        <f>($X$177) * (295)</f>
        <v>0</v>
      </c>
      <c r="AW177">
        <f>($Y$177) * (150)</f>
        <v>0</v>
      </c>
      <c r="AX177">
        <f>($Z$177) * (365)</f>
        <v>0</v>
      </c>
      <c r="AY177">
        <f>($AA$177) * (220)</f>
        <v>0</v>
      </c>
      <c r="AZ177">
        <f>($AB$177) * (435)</f>
        <v>0</v>
      </c>
      <c r="BA177">
        <f>($AC$177) * (290)</f>
        <v>0</v>
      </c>
      <c r="BB177">
        <f>($AD$177) * (505)</f>
        <v>0</v>
      </c>
      <c r="BC177">
        <f>($AE$177) * (575)</f>
        <v>0</v>
      </c>
      <c r="BO177">
        <v>1</v>
      </c>
      <c r="BP177">
        <f>SUM($R$177:$Z$177)</f>
        <v>0</v>
      </c>
    </row>
    <row r="178" spans="1:68" x14ac:dyDescent="0.25">
      <c r="A178">
        <v>99</v>
      </c>
      <c r="B178">
        <v>1</v>
      </c>
      <c r="C178">
        <v>15940</v>
      </c>
      <c r="D178">
        <v>1</v>
      </c>
      <c r="E178">
        <v>4</v>
      </c>
      <c r="F178" t="s">
        <v>7</v>
      </c>
      <c r="G178">
        <v>5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f>($H$178) * (225)</f>
        <v>0</v>
      </c>
      <c r="AG178">
        <f>($I$178) * (40)</f>
        <v>0</v>
      </c>
      <c r="AH178">
        <f>($J$178) * (40)</f>
        <v>0</v>
      </c>
      <c r="AI178">
        <f>($K$178) * (225)</f>
        <v>0</v>
      </c>
      <c r="AJ178">
        <f>($L$178) * (40)</f>
        <v>0</v>
      </c>
      <c r="AK178">
        <f>($M$178) * (40)</f>
        <v>0</v>
      </c>
      <c r="AL178">
        <f>($N$178) * (225)</f>
        <v>0</v>
      </c>
      <c r="AM178">
        <f>($O$178) * (225)</f>
        <v>0</v>
      </c>
      <c r="AN178">
        <f>($P$178) * (40)</f>
        <v>0</v>
      </c>
      <c r="AO178">
        <f>($Q$178) * (40)</f>
        <v>0</v>
      </c>
      <c r="AP178">
        <f>($R$178) * (225)</f>
        <v>0</v>
      </c>
      <c r="AQ178">
        <f>($S$178) * (40)</f>
        <v>0</v>
      </c>
      <c r="AR178">
        <f>($T$178) * (40)</f>
        <v>0</v>
      </c>
      <c r="AS178">
        <f>($U$178) * (275)</f>
        <v>0</v>
      </c>
      <c r="AT178">
        <f>($V$178) * (90)</f>
        <v>0</v>
      </c>
      <c r="AU178">
        <f>($W$178) * (90)</f>
        <v>0</v>
      </c>
      <c r="AV178">
        <f>($X$178) * (325)</f>
        <v>0</v>
      </c>
      <c r="AW178">
        <f>($Y$178) * (140)</f>
        <v>0</v>
      </c>
      <c r="AX178">
        <f>($Z$178) * (375)</f>
        <v>0</v>
      </c>
      <c r="AY178">
        <f>($AA$178) * (190)</f>
        <v>0</v>
      </c>
      <c r="AZ178">
        <f>($AB$178) * (425)</f>
        <v>0</v>
      </c>
      <c r="BA178">
        <f>($AC$178) * (240)</f>
        <v>0</v>
      </c>
      <c r="BB178">
        <f>($AD$178) * (475)</f>
        <v>0</v>
      </c>
      <c r="BC178">
        <f>($AE$178) * (525)</f>
        <v>0</v>
      </c>
      <c r="BO178">
        <v>1</v>
      </c>
      <c r="BP178">
        <f>SUM($K$178:$O$178)</f>
        <v>0</v>
      </c>
    </row>
    <row r="179" spans="1:68" x14ac:dyDescent="0.25">
      <c r="A179">
        <v>100</v>
      </c>
      <c r="B179">
        <v>1</v>
      </c>
      <c r="C179">
        <v>2300</v>
      </c>
      <c r="D179">
        <v>4</v>
      </c>
      <c r="E179">
        <v>9</v>
      </c>
      <c r="F179" t="s">
        <v>7</v>
      </c>
      <c r="G179">
        <v>3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f>($H$179) * (225)</f>
        <v>0</v>
      </c>
      <c r="AG179">
        <f>($I$179) * (40)</f>
        <v>0</v>
      </c>
      <c r="AH179">
        <f>($J$179) * (40)</f>
        <v>0</v>
      </c>
      <c r="AI179">
        <f>($K$179) * (225)</f>
        <v>0</v>
      </c>
      <c r="AJ179">
        <f>($L$179) * (40)</f>
        <v>0</v>
      </c>
      <c r="AK179">
        <f>($M$179) * (40)</f>
        <v>0</v>
      </c>
      <c r="AL179">
        <f>($N$179) * (225)</f>
        <v>0</v>
      </c>
      <c r="AM179">
        <f>($O$179) * (225)</f>
        <v>0</v>
      </c>
      <c r="AN179">
        <f>($P$179) * (40)</f>
        <v>0</v>
      </c>
      <c r="AO179">
        <f>($Q$179) * (40)</f>
        <v>0</v>
      </c>
      <c r="AP179">
        <f>($R$179) * (225)</f>
        <v>0</v>
      </c>
      <c r="AQ179">
        <f>($S$179) * (40)</f>
        <v>0</v>
      </c>
      <c r="AR179">
        <f>($T$179) * (40)</f>
        <v>0</v>
      </c>
      <c r="AS179">
        <f>($U$179) * (225)</f>
        <v>0</v>
      </c>
      <c r="AT179">
        <f>($V$179) * (40)</f>
        <v>0</v>
      </c>
      <c r="AU179">
        <f>($W$179) * (40)</f>
        <v>0</v>
      </c>
      <c r="AV179">
        <f>($X$179) * (275)</f>
        <v>0</v>
      </c>
      <c r="AW179">
        <f>($Y$179) * (90)</f>
        <v>0</v>
      </c>
      <c r="AX179">
        <f>($Z$179) * (325)</f>
        <v>0</v>
      </c>
      <c r="AY179">
        <f>($AA$179) * (140)</f>
        <v>0</v>
      </c>
      <c r="AZ179">
        <f>($AB$179) * (375)</f>
        <v>0</v>
      </c>
      <c r="BA179">
        <f>($AC$179) * (190)</f>
        <v>0</v>
      </c>
      <c r="BB179">
        <f>($AD$179) * (425)</f>
        <v>0</v>
      </c>
      <c r="BC179">
        <f>($AE$179) * (475)</f>
        <v>0</v>
      </c>
      <c r="BO179">
        <v>1</v>
      </c>
      <c r="BP179">
        <f>SUM($R$179:$AB$179)</f>
        <v>0</v>
      </c>
    </row>
    <row r="180" spans="1:68" x14ac:dyDescent="0.25">
      <c r="A180">
        <v>103</v>
      </c>
      <c r="B180">
        <v>2</v>
      </c>
      <c r="C180">
        <v>4200</v>
      </c>
      <c r="D180">
        <v>4</v>
      </c>
      <c r="E180">
        <v>9</v>
      </c>
      <c r="F180" t="s">
        <v>7</v>
      </c>
      <c r="G180">
        <v>3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f>($H$180) * (225)</f>
        <v>0</v>
      </c>
      <c r="AG180">
        <f>($I$180) * (80)</f>
        <v>0</v>
      </c>
      <c r="AH180">
        <f>($J$180) * (80)</f>
        <v>0</v>
      </c>
      <c r="AI180">
        <f>($K$180) * (225)</f>
        <v>0</v>
      </c>
      <c r="AJ180">
        <f>($L$180) * (80)</f>
        <v>0</v>
      </c>
      <c r="AK180">
        <f>($M$180) * (80)</f>
        <v>0</v>
      </c>
      <c r="AL180">
        <f>($N$180) * (225)</f>
        <v>0</v>
      </c>
      <c r="AM180">
        <f>($O$180) * (225)</f>
        <v>0</v>
      </c>
      <c r="AN180">
        <f>($P$180) * (80)</f>
        <v>0</v>
      </c>
      <c r="AO180">
        <f>($Q$180) * (80)</f>
        <v>0</v>
      </c>
      <c r="AP180">
        <f>($R$180) * (225)</f>
        <v>0</v>
      </c>
      <c r="AQ180">
        <f>($S$180) * (80)</f>
        <v>0</v>
      </c>
      <c r="AR180">
        <f>($T$180) * (80)</f>
        <v>0</v>
      </c>
      <c r="AS180">
        <f>($U$180) * (225)</f>
        <v>0</v>
      </c>
      <c r="AT180">
        <f>($V$180) * (80)</f>
        <v>0</v>
      </c>
      <c r="AU180">
        <f>($W$180) * (80)</f>
        <v>0</v>
      </c>
      <c r="AV180">
        <f>($X$180) * (295)</f>
        <v>0</v>
      </c>
      <c r="AW180">
        <f>($Y$180) * (150)</f>
        <v>0</v>
      </c>
      <c r="AX180">
        <f>($Z$180) * (365)</f>
        <v>0</v>
      </c>
      <c r="AY180">
        <f>($AA$180) * (220)</f>
        <v>0</v>
      </c>
      <c r="AZ180">
        <f>($AB$180) * (435)</f>
        <v>0</v>
      </c>
      <c r="BA180">
        <f>($AC$180) * (290)</f>
        <v>0</v>
      </c>
      <c r="BB180">
        <f>($AD$180) * (505)</f>
        <v>0</v>
      </c>
      <c r="BC180">
        <f>($AE$180) * (575)</f>
        <v>0</v>
      </c>
      <c r="BO180">
        <v>1</v>
      </c>
      <c r="BP180">
        <f>SUM($R$180:$AB$180)</f>
        <v>0</v>
      </c>
    </row>
    <row r="181" spans="1:68" x14ac:dyDescent="0.25">
      <c r="A181">
        <v>109</v>
      </c>
      <c r="B181">
        <v>2</v>
      </c>
      <c r="C181">
        <v>10305</v>
      </c>
      <c r="D181">
        <v>0</v>
      </c>
      <c r="E181">
        <v>3</v>
      </c>
      <c r="F181" t="s">
        <v>7</v>
      </c>
      <c r="G181">
        <v>3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f>($H$181) * (225)</f>
        <v>0</v>
      </c>
      <c r="AG181">
        <f>($I$181) * (80)</f>
        <v>0</v>
      </c>
      <c r="AH181">
        <f>($J$181) * (80)</f>
        <v>0</v>
      </c>
      <c r="AI181">
        <f>($K$181) * (225)</f>
        <v>0</v>
      </c>
      <c r="AJ181">
        <f>($L$181) * (80)</f>
        <v>0</v>
      </c>
      <c r="AK181">
        <f>($M$181) * (80)</f>
        <v>0</v>
      </c>
      <c r="AL181">
        <f>($N$181) * (295)</f>
        <v>0</v>
      </c>
      <c r="AM181">
        <f>($O$181) * (365)</f>
        <v>0</v>
      </c>
      <c r="AN181">
        <f>($P$181) * (220)</f>
        <v>0</v>
      </c>
      <c r="AO181">
        <f>($Q$181) * (220)</f>
        <v>0</v>
      </c>
      <c r="AP181">
        <f>($R$181) * (435)</f>
        <v>0</v>
      </c>
      <c r="AQ181">
        <f>($S$181) * (290)</f>
        <v>0</v>
      </c>
      <c r="AR181">
        <f>($T$181) * (290)</f>
        <v>0</v>
      </c>
      <c r="AS181">
        <f>($U$181) * (505)</f>
        <v>0</v>
      </c>
      <c r="AT181">
        <f>($V$181) * (360)</f>
        <v>0</v>
      </c>
      <c r="AU181">
        <f>($W$181) * (360)</f>
        <v>0</v>
      </c>
      <c r="AV181">
        <f>($X$181) * (575)</f>
        <v>0</v>
      </c>
      <c r="AW181">
        <f>($Y$181) * (430)</f>
        <v>0</v>
      </c>
      <c r="AX181">
        <f>($Z$181) * (645)</f>
        <v>0</v>
      </c>
      <c r="AY181">
        <f>($AA$181) * (500)</f>
        <v>0</v>
      </c>
      <c r="AZ181">
        <f>($AB$181) * (715)</f>
        <v>0</v>
      </c>
      <c r="BA181">
        <f>($AC$181) * (570)</f>
        <v>0</v>
      </c>
      <c r="BB181">
        <f>($AD$181) * (785)</f>
        <v>0</v>
      </c>
      <c r="BC181">
        <f>($AE$181) * (855)</f>
        <v>0</v>
      </c>
      <c r="BO181">
        <v>1</v>
      </c>
      <c r="BP181">
        <f>SUM($H$181:$N$181)</f>
        <v>0</v>
      </c>
    </row>
    <row r="182" spans="1:68" x14ac:dyDescent="0.25">
      <c r="A182">
        <v>111</v>
      </c>
      <c r="B182">
        <v>2</v>
      </c>
      <c r="C182">
        <v>10305</v>
      </c>
      <c r="D182">
        <v>5</v>
      </c>
      <c r="E182">
        <v>10</v>
      </c>
      <c r="F182" t="s">
        <v>7</v>
      </c>
      <c r="G182">
        <v>6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f>($H$182) * (225)</f>
        <v>0</v>
      </c>
      <c r="AG182">
        <f>($I$182) * (80)</f>
        <v>0</v>
      </c>
      <c r="AH182">
        <f>($J$182) * (80)</f>
        <v>0</v>
      </c>
      <c r="AI182">
        <f>($K$182) * (225)</f>
        <v>0</v>
      </c>
      <c r="AJ182">
        <f>($L$182) * (80)</f>
        <v>0</v>
      </c>
      <c r="AK182">
        <f>($M$182) * (80)</f>
        <v>0</v>
      </c>
      <c r="AL182">
        <f>($N$182) * (225)</f>
        <v>0</v>
      </c>
      <c r="AM182">
        <f>($O$182) * (225)</f>
        <v>0</v>
      </c>
      <c r="AN182">
        <f>($P$182) * (80)</f>
        <v>0</v>
      </c>
      <c r="AO182">
        <f>($Q$182) * (80)</f>
        <v>0</v>
      </c>
      <c r="AP182">
        <f>($R$182) * (225)</f>
        <v>0</v>
      </c>
      <c r="AQ182">
        <f>($S$182) * (80)</f>
        <v>0</v>
      </c>
      <c r="AR182">
        <f>($T$182) * (80)</f>
        <v>0</v>
      </c>
      <c r="AS182">
        <f>($U$182) * (225)</f>
        <v>0</v>
      </c>
      <c r="AT182">
        <f>($V$182) * (80)</f>
        <v>0</v>
      </c>
      <c r="AU182">
        <f>($W$182) * (80)</f>
        <v>0</v>
      </c>
      <c r="AV182">
        <f>($X$182) * (225)</f>
        <v>0</v>
      </c>
      <c r="AW182">
        <f>($Y$182) * (80)</f>
        <v>0</v>
      </c>
      <c r="AX182">
        <f>($Z$182) * (225)</f>
        <v>0</v>
      </c>
      <c r="AY182">
        <f>($AA$182) * (80)</f>
        <v>0</v>
      </c>
      <c r="AZ182">
        <f>($AB$182) * (225)</f>
        <v>0</v>
      </c>
      <c r="BA182">
        <f>($AC$182) * (80)</f>
        <v>0</v>
      </c>
      <c r="BB182">
        <f>($AD$182) * (225)</f>
        <v>0</v>
      </c>
      <c r="BC182">
        <f>($AE$182) * (295)</f>
        <v>0</v>
      </c>
      <c r="BO182">
        <v>1</v>
      </c>
      <c r="BP182">
        <f>SUM($U$182:$AD$182)</f>
        <v>0</v>
      </c>
    </row>
    <row r="183" spans="1:68" x14ac:dyDescent="0.25">
      <c r="A183">
        <v>113</v>
      </c>
      <c r="B183">
        <v>2</v>
      </c>
      <c r="C183">
        <v>10305</v>
      </c>
      <c r="D183">
        <v>2</v>
      </c>
      <c r="E183">
        <v>5</v>
      </c>
      <c r="F183" t="s">
        <v>7</v>
      </c>
      <c r="G183">
        <v>4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f>($H$183) * (225)</f>
        <v>0</v>
      </c>
      <c r="AG183">
        <f>($I$183) * (80)</f>
        <v>0</v>
      </c>
      <c r="AH183">
        <f>($J$183) * (80)</f>
        <v>0</v>
      </c>
      <c r="AI183">
        <f>($K$183) * (225)</f>
        <v>0</v>
      </c>
      <c r="AJ183">
        <f>($L$183) * (80)</f>
        <v>0</v>
      </c>
      <c r="AK183">
        <f>($M$183) * (80)</f>
        <v>0</v>
      </c>
      <c r="AL183">
        <f>($N$183) * (225)</f>
        <v>0</v>
      </c>
      <c r="AM183">
        <f>($O$183) * (225)</f>
        <v>0</v>
      </c>
      <c r="AN183">
        <f>($P$183) * (80)</f>
        <v>0</v>
      </c>
      <c r="AO183">
        <f>($Q$183) * (80)</f>
        <v>0</v>
      </c>
      <c r="AP183">
        <f>($R$183) * (225)</f>
        <v>0</v>
      </c>
      <c r="AQ183">
        <f>($S$183) * (80)</f>
        <v>0</v>
      </c>
      <c r="AR183">
        <f>($T$183) * (80)</f>
        <v>0</v>
      </c>
      <c r="AS183">
        <f>($U$183) * (295)</f>
        <v>0</v>
      </c>
      <c r="AT183">
        <f>($V$183) * (150)</f>
        <v>0</v>
      </c>
      <c r="AU183">
        <f>($W$183) * (150)</f>
        <v>0</v>
      </c>
      <c r="AV183">
        <f>($X$183) * (365)</f>
        <v>0</v>
      </c>
      <c r="AW183">
        <f>($Y$183) * (220)</f>
        <v>0</v>
      </c>
      <c r="AX183">
        <f>($Z$183) * (435)</f>
        <v>0</v>
      </c>
      <c r="AY183">
        <f>($AA$183) * (290)</f>
        <v>0</v>
      </c>
      <c r="AZ183">
        <f>($AB$183) * (505)</f>
        <v>0</v>
      </c>
      <c r="BA183">
        <f>($AC$183) * (360)</f>
        <v>0</v>
      </c>
      <c r="BB183">
        <f>($AD$183) * (575)</f>
        <v>0</v>
      </c>
      <c r="BC183">
        <f>($AE$183) * (645)</f>
        <v>0</v>
      </c>
      <c r="BO183">
        <v>1</v>
      </c>
      <c r="BP183">
        <f>SUM($N$183:$R$183)</f>
        <v>0</v>
      </c>
    </row>
    <row r="184" spans="1:68" x14ac:dyDescent="0.25">
      <c r="A184">
        <v>115</v>
      </c>
      <c r="B184">
        <v>2</v>
      </c>
      <c r="C184">
        <v>10305</v>
      </c>
      <c r="D184">
        <v>4</v>
      </c>
      <c r="E184">
        <v>8</v>
      </c>
      <c r="F184" t="s">
        <v>7</v>
      </c>
      <c r="G184">
        <v>3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f>($H$184) * (225)</f>
        <v>0</v>
      </c>
      <c r="AG184">
        <f>($I$184) * (80)</f>
        <v>0</v>
      </c>
      <c r="AH184">
        <f>($J$184) * (80)</f>
        <v>0</v>
      </c>
      <c r="AI184">
        <f>($K$184) * (225)</f>
        <v>0</v>
      </c>
      <c r="AJ184">
        <f>($L$184) * (80)</f>
        <v>0</v>
      </c>
      <c r="AK184">
        <f>($M$184) * (80)</f>
        <v>0</v>
      </c>
      <c r="AL184">
        <f>($N$184) * (225)</f>
        <v>0</v>
      </c>
      <c r="AM184">
        <f>($O$184) * (225)</f>
        <v>0</v>
      </c>
      <c r="AN184">
        <f>($P$184) * (80)</f>
        <v>0</v>
      </c>
      <c r="AO184">
        <f>($Q$184) * (80)</f>
        <v>0</v>
      </c>
      <c r="AP184">
        <f>($R$184) * (225)</f>
        <v>0</v>
      </c>
      <c r="AQ184">
        <f>($S$184) * (80)</f>
        <v>0</v>
      </c>
      <c r="AR184">
        <f>($T$184) * (80)</f>
        <v>0</v>
      </c>
      <c r="AS184">
        <f>($U$184) * (225)</f>
        <v>0</v>
      </c>
      <c r="AT184">
        <f>($V$184) * (80)</f>
        <v>0</v>
      </c>
      <c r="AU184">
        <f>($W$184) * (80)</f>
        <v>0</v>
      </c>
      <c r="AV184">
        <f>($X$184) * (295)</f>
        <v>0</v>
      </c>
      <c r="AW184">
        <f>($Y$184) * (150)</f>
        <v>0</v>
      </c>
      <c r="AX184">
        <f>($Z$184) * (365)</f>
        <v>0</v>
      </c>
      <c r="AY184">
        <f>($AA$184) * (220)</f>
        <v>0</v>
      </c>
      <c r="AZ184">
        <f>($AB$184) * (435)</f>
        <v>0</v>
      </c>
      <c r="BA184">
        <f>($AC$184) * (290)</f>
        <v>0</v>
      </c>
      <c r="BB184">
        <f>($AD$184) * (505)</f>
        <v>0</v>
      </c>
      <c r="BC184">
        <f>($AE$184) * (575)</f>
        <v>0</v>
      </c>
      <c r="BO184">
        <v>1</v>
      </c>
      <c r="BP184">
        <f>SUM($R$184:$Z$184)</f>
        <v>0</v>
      </c>
    </row>
    <row r="185" spans="1:68" x14ac:dyDescent="0.25">
      <c r="A185">
        <v>117</v>
      </c>
      <c r="B185">
        <v>2</v>
      </c>
      <c r="C185">
        <v>10305</v>
      </c>
      <c r="D185">
        <v>1</v>
      </c>
      <c r="E185">
        <v>6</v>
      </c>
      <c r="F185" t="s">
        <v>7</v>
      </c>
      <c r="G185">
        <v>3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f>($H$185) * (225)</f>
        <v>0</v>
      </c>
      <c r="AG185">
        <f>($I$185) * (80)</f>
        <v>0</v>
      </c>
      <c r="AH185">
        <f>($J$185) * (80)</f>
        <v>0</v>
      </c>
      <c r="AI185">
        <f>($K$185) * (225)</f>
        <v>0</v>
      </c>
      <c r="AJ185">
        <f>($L$185) * (80)</f>
        <v>0</v>
      </c>
      <c r="AK185">
        <f>($M$185) * (80)</f>
        <v>0</v>
      </c>
      <c r="AL185">
        <f>($N$185) * (225)</f>
        <v>0</v>
      </c>
      <c r="AM185">
        <f>($O$185) * (295)</f>
        <v>0</v>
      </c>
      <c r="AN185">
        <f>($P$185) * (150)</f>
        <v>0</v>
      </c>
      <c r="AO185">
        <f>($Q$185) * (150)</f>
        <v>0</v>
      </c>
      <c r="AP185">
        <f>($R$185) * (365)</f>
        <v>0</v>
      </c>
      <c r="AQ185">
        <f>($S$185) * (220)</f>
        <v>0</v>
      </c>
      <c r="AR185">
        <f>($T$185) * (220)</f>
        <v>0</v>
      </c>
      <c r="AS185">
        <f>($U$185) * (435)</f>
        <v>0</v>
      </c>
      <c r="AT185">
        <f>($V$185) * (290)</f>
        <v>0</v>
      </c>
      <c r="AU185">
        <f>($W$185) * (290)</f>
        <v>0</v>
      </c>
      <c r="AV185">
        <f>($X$185) * (505)</f>
        <v>0</v>
      </c>
      <c r="AW185">
        <f>($Y$185) * (360)</f>
        <v>0</v>
      </c>
      <c r="AX185">
        <f>($Z$185) * (575)</f>
        <v>0</v>
      </c>
      <c r="AY185">
        <f>($AA$185) * (430)</f>
        <v>0</v>
      </c>
      <c r="AZ185">
        <f>($AB$185) * (645)</f>
        <v>0</v>
      </c>
      <c r="BA185">
        <f>($AC$185) * (500)</f>
        <v>0</v>
      </c>
      <c r="BB185">
        <f>($AD$185) * (715)</f>
        <v>0</v>
      </c>
      <c r="BC185">
        <f>($AE$185) * (785)</f>
        <v>0</v>
      </c>
      <c r="BO185">
        <v>1</v>
      </c>
      <c r="BP185">
        <f>SUM($K$185:$U$185)</f>
        <v>0</v>
      </c>
    </row>
    <row r="186" spans="1:68" x14ac:dyDescent="0.25">
      <c r="A186">
        <v>119</v>
      </c>
      <c r="B186">
        <v>2</v>
      </c>
      <c r="C186">
        <v>10305</v>
      </c>
      <c r="D186">
        <v>6</v>
      </c>
      <c r="E186">
        <v>10</v>
      </c>
      <c r="F186" t="s">
        <v>7</v>
      </c>
      <c r="G186">
        <v>4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f>($H$186) * (225)</f>
        <v>0</v>
      </c>
      <c r="AG186">
        <f>($I$186) * (80)</f>
        <v>0</v>
      </c>
      <c r="AH186">
        <f>($J$186) * (80)</f>
        <v>0</v>
      </c>
      <c r="AI186">
        <f>($K$186) * (225)</f>
        <v>0</v>
      </c>
      <c r="AJ186">
        <f>($L$186) * (80)</f>
        <v>0</v>
      </c>
      <c r="AK186">
        <f>($M$186) * (80)</f>
        <v>0</v>
      </c>
      <c r="AL186">
        <f>($N$186) * (225)</f>
        <v>0</v>
      </c>
      <c r="AM186">
        <f>($O$186) * (225)</f>
        <v>0</v>
      </c>
      <c r="AN186">
        <f>($P$186) * (80)</f>
        <v>0</v>
      </c>
      <c r="AO186">
        <f>($Q$186) * (80)</f>
        <v>0</v>
      </c>
      <c r="AP186">
        <f>($R$186) * (225)</f>
        <v>0</v>
      </c>
      <c r="AQ186">
        <f>($S$186) * (80)</f>
        <v>0</v>
      </c>
      <c r="AR186">
        <f>($T$186) * (80)</f>
        <v>0</v>
      </c>
      <c r="AS186">
        <f>($U$186) * (225)</f>
        <v>0</v>
      </c>
      <c r="AT186">
        <f>($V$186) * (80)</f>
        <v>0</v>
      </c>
      <c r="AU186">
        <f>($W$186) * (80)</f>
        <v>0</v>
      </c>
      <c r="AV186">
        <f>($X$186) * (225)</f>
        <v>0</v>
      </c>
      <c r="AW186">
        <f>($Y$186) * (80)</f>
        <v>0</v>
      </c>
      <c r="AX186">
        <f>($Z$186) * (225)</f>
        <v>0</v>
      </c>
      <c r="AY186">
        <f>($AA$186) * (80)</f>
        <v>0</v>
      </c>
      <c r="AZ186">
        <f>($AB$186) * (225)</f>
        <v>0</v>
      </c>
      <c r="BA186">
        <f>($AC$186) * (80)</f>
        <v>0</v>
      </c>
      <c r="BB186">
        <f>($AD$186) * (295)</f>
        <v>0</v>
      </c>
      <c r="BC186">
        <f>($AE$186) * (365)</f>
        <v>0</v>
      </c>
      <c r="BO186">
        <v>1</v>
      </c>
      <c r="BP186">
        <f>SUM($X$186:$AD$186)</f>
        <v>0</v>
      </c>
    </row>
    <row r="187" spans="1:68" x14ac:dyDescent="0.25">
      <c r="A187">
        <v>120</v>
      </c>
      <c r="B187">
        <v>2</v>
      </c>
      <c r="C187">
        <v>10305</v>
      </c>
      <c r="D187">
        <v>-1</v>
      </c>
      <c r="E187">
        <v>4</v>
      </c>
      <c r="F187" t="s">
        <v>7</v>
      </c>
      <c r="G187">
        <v>4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f>($H$187) * (225)</f>
        <v>0</v>
      </c>
      <c r="AG187">
        <f>($I$187) * (80)</f>
        <v>0</v>
      </c>
      <c r="AH187">
        <f>($J$187) * (80)</f>
        <v>0</v>
      </c>
      <c r="AI187">
        <f>($K$187) * (225)</f>
        <v>0</v>
      </c>
      <c r="AJ187">
        <f>($L$187) * (80)</f>
        <v>0</v>
      </c>
      <c r="AK187">
        <f>($M$187) * (80)</f>
        <v>0</v>
      </c>
      <c r="AL187">
        <f>($N$187) * (295)</f>
        <v>0</v>
      </c>
      <c r="AM187">
        <f>($O$187) * (365)</f>
        <v>0</v>
      </c>
      <c r="AN187">
        <f>($P$187) * (220)</f>
        <v>0</v>
      </c>
      <c r="AO187">
        <f>($Q$187) * (220)</f>
        <v>0</v>
      </c>
      <c r="AP187">
        <f>($R$187) * (435)</f>
        <v>0</v>
      </c>
      <c r="AQ187">
        <f>($S$187) * (290)</f>
        <v>0</v>
      </c>
      <c r="AR187">
        <f>($T$187) * (290)</f>
        <v>0</v>
      </c>
      <c r="AS187">
        <f>($U$187) * (505)</f>
        <v>0</v>
      </c>
      <c r="AT187">
        <f>($V$187) * (360)</f>
        <v>0</v>
      </c>
      <c r="AU187">
        <f>($W$187) * (360)</f>
        <v>0</v>
      </c>
      <c r="AV187">
        <f>($X$187) * (575)</f>
        <v>0</v>
      </c>
      <c r="AW187">
        <f>($Y$187) * (430)</f>
        <v>0</v>
      </c>
      <c r="AX187">
        <f>($Z$187) * (645)</f>
        <v>0</v>
      </c>
      <c r="AY187">
        <f>($AA$187) * (500)</f>
        <v>0</v>
      </c>
      <c r="AZ187">
        <f>($AB$187) * (715)</f>
        <v>0</v>
      </c>
      <c r="BA187">
        <f>($AC$187) * (570)</f>
        <v>0</v>
      </c>
      <c r="BB187">
        <f>($AD$187) * (785)</f>
        <v>0</v>
      </c>
      <c r="BC187">
        <f>($AE$187) * (855)</f>
        <v>0</v>
      </c>
      <c r="BO187">
        <v>1</v>
      </c>
      <c r="BP187">
        <f>SUM($H$187:$O$187)</f>
        <v>0</v>
      </c>
    </row>
    <row r="188" spans="1:68" x14ac:dyDescent="0.25">
      <c r="A188">
        <v>121</v>
      </c>
      <c r="B188">
        <v>2</v>
      </c>
      <c r="C188">
        <v>10305</v>
      </c>
      <c r="D188">
        <v>1</v>
      </c>
      <c r="E188">
        <v>6</v>
      </c>
      <c r="F188" t="s">
        <v>7</v>
      </c>
      <c r="G188">
        <v>5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f>($H$188) * (225)</f>
        <v>0</v>
      </c>
      <c r="AG188">
        <f>($I$188) * (80)</f>
        <v>0</v>
      </c>
      <c r="AH188">
        <f>($J$188) * (80)</f>
        <v>0</v>
      </c>
      <c r="AI188">
        <f>($K$188) * (225)</f>
        <v>0</v>
      </c>
      <c r="AJ188">
        <f>($L$188) * (80)</f>
        <v>0</v>
      </c>
      <c r="AK188">
        <f>($M$188) * (80)</f>
        <v>0</v>
      </c>
      <c r="AL188">
        <f>($N$188) * (225)</f>
        <v>0</v>
      </c>
      <c r="AM188">
        <f>($O$188) * (225)</f>
        <v>0</v>
      </c>
      <c r="AN188">
        <f>($P$188) * (80)</f>
        <v>0</v>
      </c>
      <c r="AO188">
        <f>($Q$188) * (80)</f>
        <v>0</v>
      </c>
      <c r="AP188">
        <f>($R$188) * (225)</f>
        <v>0</v>
      </c>
      <c r="AQ188">
        <f>($S$188) * (80)</f>
        <v>0</v>
      </c>
      <c r="AR188">
        <f>($T$188) * (80)</f>
        <v>0</v>
      </c>
      <c r="AS188">
        <f>($U$188) * (295)</f>
        <v>0</v>
      </c>
      <c r="AT188">
        <f>($V$188) * (150)</f>
        <v>0</v>
      </c>
      <c r="AU188">
        <f>($W$188) * (150)</f>
        <v>0</v>
      </c>
      <c r="AV188">
        <f>($X$188) * (365)</f>
        <v>0</v>
      </c>
      <c r="AW188">
        <f>($Y$188) * (220)</f>
        <v>0</v>
      </c>
      <c r="AX188">
        <f>($Z$188) * (435)</f>
        <v>0</v>
      </c>
      <c r="AY188">
        <f>($AA$188) * (290)</f>
        <v>0</v>
      </c>
      <c r="AZ188">
        <f>($AB$188) * (505)</f>
        <v>0</v>
      </c>
      <c r="BA188">
        <f>($AC$188) * (360)</f>
        <v>0</v>
      </c>
      <c r="BB188">
        <f>($AD$188) * (575)</f>
        <v>0</v>
      </c>
      <c r="BC188">
        <f>($AE$188) * (645)</f>
        <v>0</v>
      </c>
      <c r="BO188">
        <v>1</v>
      </c>
      <c r="BP188">
        <f>SUM($K$188:$U$188)</f>
        <v>0</v>
      </c>
    </row>
    <row r="189" spans="1:68" x14ac:dyDescent="0.25">
      <c r="A189">
        <v>125</v>
      </c>
      <c r="B189">
        <v>2</v>
      </c>
      <c r="C189">
        <v>10305</v>
      </c>
      <c r="D189">
        <v>1</v>
      </c>
      <c r="E189">
        <v>4</v>
      </c>
      <c r="F189" t="s">
        <v>7</v>
      </c>
      <c r="G189">
        <v>3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f>($H$189) * (225)</f>
        <v>0</v>
      </c>
      <c r="AG189">
        <f>($I$189) * (80)</f>
        <v>0</v>
      </c>
      <c r="AH189">
        <f>($J$189) * (80)</f>
        <v>0</v>
      </c>
      <c r="AI189">
        <f>($K$189) * (225)</f>
        <v>0</v>
      </c>
      <c r="AJ189">
        <f>($L$189) * (80)</f>
        <v>0</v>
      </c>
      <c r="AK189">
        <f>($M$189) * (80)</f>
        <v>0</v>
      </c>
      <c r="AL189">
        <f>($N$189) * (225)</f>
        <v>0</v>
      </c>
      <c r="AM189">
        <f>($O$189) * (295)</f>
        <v>0</v>
      </c>
      <c r="AN189">
        <f>($P$189) * (150)</f>
        <v>0</v>
      </c>
      <c r="AO189">
        <f>($Q$189) * (150)</f>
        <v>0</v>
      </c>
      <c r="AP189">
        <f>($R$189) * (365)</f>
        <v>0</v>
      </c>
      <c r="AQ189">
        <f>($S$189) * (220)</f>
        <v>0</v>
      </c>
      <c r="AR189">
        <f>($T$189) * (220)</f>
        <v>0</v>
      </c>
      <c r="AS189">
        <f>($U$189) * (435)</f>
        <v>0</v>
      </c>
      <c r="AT189">
        <f>($V$189) * (290)</f>
        <v>0</v>
      </c>
      <c r="AU189">
        <f>($W$189) * (290)</f>
        <v>0</v>
      </c>
      <c r="AV189">
        <f>($X$189) * (505)</f>
        <v>0</v>
      </c>
      <c r="AW189">
        <f>($Y$189) * (360)</f>
        <v>0</v>
      </c>
      <c r="AX189">
        <f>($Z$189) * (575)</f>
        <v>0</v>
      </c>
      <c r="AY189">
        <f>($AA$189) * (430)</f>
        <v>0</v>
      </c>
      <c r="AZ189">
        <f>($AB$189) * (645)</f>
        <v>0</v>
      </c>
      <c r="BA189">
        <f>($AC$189) * (500)</f>
        <v>0</v>
      </c>
      <c r="BB189">
        <f>($AD$189) * (715)</f>
        <v>0</v>
      </c>
      <c r="BC189">
        <f>($AE$189) * (785)</f>
        <v>0</v>
      </c>
      <c r="BO189">
        <v>1</v>
      </c>
      <c r="BP189">
        <f>SUM($K$189:$O$189)</f>
        <v>0</v>
      </c>
    </row>
    <row r="190" spans="1:68" x14ac:dyDescent="0.25">
      <c r="A190">
        <v>127</v>
      </c>
      <c r="B190">
        <v>2</v>
      </c>
      <c r="C190">
        <v>10305</v>
      </c>
      <c r="D190">
        <v>4</v>
      </c>
      <c r="E190">
        <v>9</v>
      </c>
      <c r="F190" t="s">
        <v>7</v>
      </c>
      <c r="G190">
        <v>5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f>($H$190) * (225)</f>
        <v>0</v>
      </c>
      <c r="AG190">
        <f>($I$190) * (80)</f>
        <v>0</v>
      </c>
      <c r="AH190">
        <f>($J$190) * (80)</f>
        <v>0</v>
      </c>
      <c r="AI190">
        <f>($K$190) * (225)</f>
        <v>0</v>
      </c>
      <c r="AJ190">
        <f>($L$190) * (80)</f>
        <v>0</v>
      </c>
      <c r="AK190">
        <f>($M$190) * (80)</f>
        <v>0</v>
      </c>
      <c r="AL190">
        <f>($N$190) * (225)</f>
        <v>0</v>
      </c>
      <c r="AM190">
        <f>($O$190) * (225)</f>
        <v>0</v>
      </c>
      <c r="AN190">
        <f>($P$190) * (80)</f>
        <v>0</v>
      </c>
      <c r="AO190">
        <f>($Q$190) * (80)</f>
        <v>0</v>
      </c>
      <c r="AP190">
        <f>($R$190) * (225)</f>
        <v>0</v>
      </c>
      <c r="AQ190">
        <f>($S$190) * (80)</f>
        <v>0</v>
      </c>
      <c r="AR190">
        <f>($T$190) * (80)</f>
        <v>0</v>
      </c>
      <c r="AS190">
        <f>($U$190) * (225)</f>
        <v>0</v>
      </c>
      <c r="AT190">
        <f>($V$190) * (80)</f>
        <v>0</v>
      </c>
      <c r="AU190">
        <f>($W$190) * (80)</f>
        <v>0</v>
      </c>
      <c r="AV190">
        <f>($X$190) * (225)</f>
        <v>0</v>
      </c>
      <c r="AW190">
        <f>($Y$190) * (80)</f>
        <v>0</v>
      </c>
      <c r="AX190">
        <f>($Z$190) * (225)</f>
        <v>0</v>
      </c>
      <c r="AY190">
        <f>($AA$190) * (80)</f>
        <v>0</v>
      </c>
      <c r="AZ190">
        <f>($AB$190) * (295)</f>
        <v>0</v>
      </c>
      <c r="BA190">
        <f>($AC$190) * (150)</f>
        <v>0</v>
      </c>
      <c r="BB190">
        <f>($AD$190) * (365)</f>
        <v>0</v>
      </c>
      <c r="BC190">
        <f>($AE$190) * (435)</f>
        <v>0</v>
      </c>
      <c r="BO190">
        <v>1</v>
      </c>
      <c r="BP190">
        <f>SUM($R$190:$AB$190)</f>
        <v>0</v>
      </c>
    </row>
    <row r="191" spans="1:68" x14ac:dyDescent="0.25">
      <c r="A191">
        <v>128</v>
      </c>
      <c r="B191">
        <v>2</v>
      </c>
      <c r="C191">
        <v>10305</v>
      </c>
      <c r="D191">
        <v>4</v>
      </c>
      <c r="E191">
        <v>8</v>
      </c>
      <c r="F191" t="s">
        <v>7</v>
      </c>
      <c r="G191">
        <v>3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f>($H$191) * (225)</f>
        <v>0</v>
      </c>
      <c r="AG191">
        <f>($I$191) * (80)</f>
        <v>0</v>
      </c>
      <c r="AH191">
        <f>($J$191) * (80)</f>
        <v>0</v>
      </c>
      <c r="AI191">
        <f>($K$191) * (225)</f>
        <v>0</v>
      </c>
      <c r="AJ191">
        <f>($L$191) * (80)</f>
        <v>0</v>
      </c>
      <c r="AK191">
        <f>($M$191) * (80)</f>
        <v>0</v>
      </c>
      <c r="AL191">
        <f>($N$191) * (225)</f>
        <v>0</v>
      </c>
      <c r="AM191">
        <f>($O$191) * (225)</f>
        <v>0</v>
      </c>
      <c r="AN191">
        <f>($P$191) * (80)</f>
        <v>0</v>
      </c>
      <c r="AO191">
        <f>($Q$191) * (80)</f>
        <v>0</v>
      </c>
      <c r="AP191">
        <f>($R$191) * (225)</f>
        <v>0</v>
      </c>
      <c r="AQ191">
        <f>($S$191) * (80)</f>
        <v>0</v>
      </c>
      <c r="AR191">
        <f>($T$191) * (80)</f>
        <v>0</v>
      </c>
      <c r="AS191">
        <f>($U$191) * (225)</f>
        <v>0</v>
      </c>
      <c r="AT191">
        <f>($V$191) * (80)</f>
        <v>0</v>
      </c>
      <c r="AU191">
        <f>($W$191) * (80)</f>
        <v>0</v>
      </c>
      <c r="AV191">
        <f>($X$191) * (295)</f>
        <v>0</v>
      </c>
      <c r="AW191">
        <f>($Y$191) * (150)</f>
        <v>0</v>
      </c>
      <c r="AX191">
        <f>($Z$191) * (365)</f>
        <v>0</v>
      </c>
      <c r="AY191">
        <f>($AA$191) * (220)</f>
        <v>0</v>
      </c>
      <c r="AZ191">
        <f>($AB$191) * (435)</f>
        <v>0</v>
      </c>
      <c r="BA191">
        <f>($AC$191) * (290)</f>
        <v>0</v>
      </c>
      <c r="BB191">
        <f>($AD$191) * (505)</f>
        <v>0</v>
      </c>
      <c r="BC191">
        <f>($AE$191) * (575)</f>
        <v>0</v>
      </c>
      <c r="BO191">
        <v>1</v>
      </c>
      <c r="BP191">
        <f>SUM($R$191:$Z$191)</f>
        <v>0</v>
      </c>
    </row>
    <row r="192" spans="1:68" x14ac:dyDescent="0.25">
      <c r="A192">
        <v>130</v>
      </c>
      <c r="B192">
        <v>1</v>
      </c>
      <c r="C192">
        <v>20591</v>
      </c>
      <c r="D192">
        <v>-1</v>
      </c>
      <c r="E192">
        <v>3</v>
      </c>
      <c r="F192" t="s">
        <v>7</v>
      </c>
      <c r="G192">
        <v>4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f>($H$192) * (225)</f>
        <v>0</v>
      </c>
      <c r="AG192">
        <f>($I$192) * (40)</f>
        <v>0</v>
      </c>
      <c r="AH192">
        <f>($J$192) * (40)</f>
        <v>0</v>
      </c>
      <c r="AI192">
        <f>($K$192) * (225)</f>
        <v>0</v>
      </c>
      <c r="AJ192">
        <f>($L$192) * (40)</f>
        <v>0</v>
      </c>
      <c r="AK192">
        <f>($M$192) * (40)</f>
        <v>0</v>
      </c>
      <c r="AL192">
        <f>($N$192) * (275)</f>
        <v>0</v>
      </c>
      <c r="AM192">
        <f>($O$192) * (325)</f>
        <v>0</v>
      </c>
      <c r="AN192">
        <f>($P$192) * (140)</f>
        <v>0</v>
      </c>
      <c r="AO192">
        <f>($Q$192) * (140)</f>
        <v>0</v>
      </c>
      <c r="AP192">
        <f>($R$192) * (375)</f>
        <v>0</v>
      </c>
      <c r="AQ192">
        <f>($S$192) * (190)</f>
        <v>0</v>
      </c>
      <c r="AR192">
        <f>($T$192) * (190)</f>
        <v>0</v>
      </c>
      <c r="AS192">
        <f>($U$192) * (425)</f>
        <v>0</v>
      </c>
      <c r="AT192">
        <f>($V$192) * (240)</f>
        <v>0</v>
      </c>
      <c r="AU192">
        <f>($W$192) * (240)</f>
        <v>0</v>
      </c>
      <c r="AV192">
        <f>($X$192) * (475)</f>
        <v>0</v>
      </c>
      <c r="AW192">
        <f>($Y$192) * (290)</f>
        <v>0</v>
      </c>
      <c r="AX192">
        <f>($Z$192) * (525)</f>
        <v>0</v>
      </c>
      <c r="AY192">
        <f>($AA$192) * (340)</f>
        <v>0</v>
      </c>
      <c r="AZ192">
        <f>($AB$192) * (575)</f>
        <v>0</v>
      </c>
      <c r="BA192">
        <f>($AC$192) * (390)</f>
        <v>0</v>
      </c>
      <c r="BB192">
        <f>($AD$192) * (625)</f>
        <v>0</v>
      </c>
      <c r="BC192">
        <f>($AE$192) * (675)</f>
        <v>0</v>
      </c>
      <c r="BO192">
        <v>1</v>
      </c>
      <c r="BP192">
        <f>SUM($H$192:$N$192)</f>
        <v>0</v>
      </c>
    </row>
    <row r="193" spans="1:68" x14ac:dyDescent="0.25">
      <c r="A193">
        <v>131</v>
      </c>
      <c r="B193">
        <v>1</v>
      </c>
      <c r="C193">
        <v>20595</v>
      </c>
      <c r="D193">
        <v>6</v>
      </c>
      <c r="E193">
        <v>10</v>
      </c>
      <c r="F193" t="s">
        <v>7</v>
      </c>
      <c r="G193">
        <v>5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f>($H$193) * (225)</f>
        <v>0</v>
      </c>
      <c r="AG193">
        <f>($I$193) * (40)</f>
        <v>0</v>
      </c>
      <c r="AH193">
        <f>($J$193) * (40)</f>
        <v>0</v>
      </c>
      <c r="AI193">
        <f>($K$193) * (225)</f>
        <v>0</v>
      </c>
      <c r="AJ193">
        <f>($L$193) * (40)</f>
        <v>0</v>
      </c>
      <c r="AK193">
        <f>($M$193) * (40)</f>
        <v>0</v>
      </c>
      <c r="AL193">
        <f>($N$193) * (225)</f>
        <v>0</v>
      </c>
      <c r="AM193">
        <f>($O$193) * (225)</f>
        <v>0</v>
      </c>
      <c r="AN193">
        <f>($P$193) * (40)</f>
        <v>0</v>
      </c>
      <c r="AO193">
        <f>($Q$193) * (40)</f>
        <v>0</v>
      </c>
      <c r="AP193">
        <f>($R$193) * (225)</f>
        <v>0</v>
      </c>
      <c r="AQ193">
        <f>($S$193) * (40)</f>
        <v>0</v>
      </c>
      <c r="AR193">
        <f>($T$193) * (40)</f>
        <v>0</v>
      </c>
      <c r="AS193">
        <f>($U$193) * (225)</f>
        <v>0</v>
      </c>
      <c r="AT193">
        <f>($V$193) * (40)</f>
        <v>0</v>
      </c>
      <c r="AU193">
        <f>($W$193) * (40)</f>
        <v>0</v>
      </c>
      <c r="AV193">
        <f>($X$193) * (225)</f>
        <v>0</v>
      </c>
      <c r="AW193">
        <f>($Y$193) * (40)</f>
        <v>0</v>
      </c>
      <c r="AX193">
        <f>($Z$193) * (225)</f>
        <v>0</v>
      </c>
      <c r="AY193">
        <f>($AA$193) * (40)</f>
        <v>0</v>
      </c>
      <c r="AZ193">
        <f>($AB$193) * (225)</f>
        <v>0</v>
      </c>
      <c r="BA193">
        <f>($AC$193) * (40)</f>
        <v>0</v>
      </c>
      <c r="BB193">
        <f>($AD$193) * (225)</f>
        <v>0</v>
      </c>
      <c r="BC193">
        <f>($AE$193) * (275)</f>
        <v>0</v>
      </c>
      <c r="BO193">
        <v>1</v>
      </c>
      <c r="BP193">
        <f>SUM($X$193:$AD$193)</f>
        <v>0</v>
      </c>
    </row>
    <row r="194" spans="1:68" x14ac:dyDescent="0.25">
      <c r="A194">
        <v>141</v>
      </c>
      <c r="B194">
        <v>1</v>
      </c>
      <c r="C194">
        <v>4300</v>
      </c>
      <c r="D194">
        <v>-1</v>
      </c>
      <c r="E194">
        <v>2</v>
      </c>
      <c r="F194" t="s">
        <v>7</v>
      </c>
      <c r="G194">
        <v>3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f>($H$194) * (225)</f>
        <v>0</v>
      </c>
      <c r="AG194">
        <f>($I$194) * (40)</f>
        <v>0</v>
      </c>
      <c r="AH194">
        <f>($J$194) * (40)</f>
        <v>0</v>
      </c>
      <c r="AI194">
        <f>($K$194) * (275)</f>
        <v>0</v>
      </c>
      <c r="AJ194">
        <f>($L$194) * (90)</f>
        <v>0</v>
      </c>
      <c r="AK194">
        <f>($M$194) * (90)</f>
        <v>0</v>
      </c>
      <c r="AL194">
        <f>($N$194) * (325)</f>
        <v>0</v>
      </c>
      <c r="AM194">
        <f>($O$194) * (375)</f>
        <v>0</v>
      </c>
      <c r="AN194">
        <f>($P$194) * (190)</f>
        <v>0</v>
      </c>
      <c r="AO194">
        <f>($Q$194) * (190)</f>
        <v>0</v>
      </c>
      <c r="AP194">
        <f>($R$194) * (425)</f>
        <v>0</v>
      </c>
      <c r="AQ194">
        <f>($S$194) * (240)</f>
        <v>0</v>
      </c>
      <c r="AR194">
        <f>($T$194) * (240)</f>
        <v>0</v>
      </c>
      <c r="AS194">
        <f>($U$194) * (475)</f>
        <v>0</v>
      </c>
      <c r="AT194">
        <f>($V$194) * (290)</f>
        <v>0</v>
      </c>
      <c r="AU194">
        <f>($W$194) * (290)</f>
        <v>0</v>
      </c>
      <c r="AV194">
        <f>($X$194) * (525)</f>
        <v>0</v>
      </c>
      <c r="AW194">
        <f>($Y$194) * (340)</f>
        <v>0</v>
      </c>
      <c r="AX194">
        <f>($Z$194) * (575)</f>
        <v>0</v>
      </c>
      <c r="AY194">
        <f>($AA$194) * (390)</f>
        <v>0</v>
      </c>
      <c r="AZ194">
        <f>($AB$194) * (625)</f>
        <v>0</v>
      </c>
      <c r="BA194">
        <f>($AC$194) * (440)</f>
        <v>0</v>
      </c>
      <c r="BB194">
        <f>($AD$194) * (675)</f>
        <v>0</v>
      </c>
      <c r="BC194">
        <f>($AE$194) * (725)</f>
        <v>0</v>
      </c>
      <c r="BO194">
        <v>1</v>
      </c>
      <c r="BP194">
        <f>SUM($H$194:$K$194)</f>
        <v>0</v>
      </c>
    </row>
    <row r="195" spans="1:68" x14ac:dyDescent="0.25">
      <c r="A195">
        <v>142</v>
      </c>
      <c r="B195">
        <v>2</v>
      </c>
      <c r="C195">
        <v>4200</v>
      </c>
      <c r="D195">
        <v>6</v>
      </c>
      <c r="E195">
        <v>9</v>
      </c>
      <c r="F195" t="s">
        <v>7</v>
      </c>
      <c r="G195">
        <v>4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f>($H$195) * (225)</f>
        <v>0</v>
      </c>
      <c r="AG195">
        <f>($I$195) * (80)</f>
        <v>0</v>
      </c>
      <c r="AH195">
        <f>($J$195) * (80)</f>
        <v>0</v>
      </c>
      <c r="AI195">
        <f>($K$195) * (225)</f>
        <v>0</v>
      </c>
      <c r="AJ195">
        <f>($L$195) * (80)</f>
        <v>0</v>
      </c>
      <c r="AK195">
        <f>($M$195) * (80)</f>
        <v>0</v>
      </c>
      <c r="AL195">
        <f>($N$195) * (225)</f>
        <v>0</v>
      </c>
      <c r="AM195">
        <f>($O$195) * (225)</f>
        <v>0</v>
      </c>
      <c r="AN195">
        <f>($P$195) * (80)</f>
        <v>0</v>
      </c>
      <c r="AO195">
        <f>($Q$195) * (80)</f>
        <v>0</v>
      </c>
      <c r="AP195">
        <f>($R$195) * (225)</f>
        <v>0</v>
      </c>
      <c r="AQ195">
        <f>($S$195) * (80)</f>
        <v>0</v>
      </c>
      <c r="AR195">
        <f>($T$195) * (80)</f>
        <v>0</v>
      </c>
      <c r="AS195">
        <f>($U$195) * (225)</f>
        <v>0</v>
      </c>
      <c r="AT195">
        <f>($V$195) * (80)</f>
        <v>0</v>
      </c>
      <c r="AU195">
        <f>($W$195) * (80)</f>
        <v>0</v>
      </c>
      <c r="AV195">
        <f>($X$195) * (225)</f>
        <v>0</v>
      </c>
      <c r="AW195">
        <f>($Y$195) * (80)</f>
        <v>0</v>
      </c>
      <c r="AX195">
        <f>($Z$195) * (225)</f>
        <v>0</v>
      </c>
      <c r="AY195">
        <f>($AA$195) * (80)</f>
        <v>0</v>
      </c>
      <c r="AZ195">
        <f>($AB$195) * (225)</f>
        <v>0</v>
      </c>
      <c r="BA195">
        <f>($AC$195) * (80)</f>
        <v>0</v>
      </c>
      <c r="BB195">
        <f>($AD$195) * (295)</f>
        <v>0</v>
      </c>
      <c r="BC195">
        <f>($AE$195) * (365)</f>
        <v>0</v>
      </c>
      <c r="BO195">
        <v>1</v>
      </c>
      <c r="BP195">
        <f>SUM($X$195:$AB$195)</f>
        <v>0</v>
      </c>
    </row>
    <row r="196" spans="1:68" x14ac:dyDescent="0.25">
      <c r="A196">
        <v>143</v>
      </c>
      <c r="B196">
        <v>2</v>
      </c>
      <c r="C196">
        <v>4202</v>
      </c>
      <c r="D196">
        <v>4</v>
      </c>
      <c r="E196">
        <v>8</v>
      </c>
      <c r="F196" t="s">
        <v>7</v>
      </c>
      <c r="G196">
        <v>5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f>($H$196) * (225)</f>
        <v>0</v>
      </c>
      <c r="AG196">
        <f>($I$196) * (80)</f>
        <v>0</v>
      </c>
      <c r="AH196">
        <f>($J$196) * (80)</f>
        <v>0</v>
      </c>
      <c r="AI196">
        <f>($K$196) * (225)</f>
        <v>0</v>
      </c>
      <c r="AJ196">
        <f>($L$196) * (80)</f>
        <v>0</v>
      </c>
      <c r="AK196">
        <f>($M$196) * (80)</f>
        <v>0</v>
      </c>
      <c r="AL196">
        <f>($N$196) * (225)</f>
        <v>0</v>
      </c>
      <c r="AM196">
        <f>($O$196) * (225)</f>
        <v>0</v>
      </c>
      <c r="AN196">
        <f>($P$196) * (80)</f>
        <v>0</v>
      </c>
      <c r="AO196">
        <f>($Q$196) * (80)</f>
        <v>0</v>
      </c>
      <c r="AP196">
        <f>($R$196) * (225)</f>
        <v>0</v>
      </c>
      <c r="AQ196">
        <f>($S$196) * (80)</f>
        <v>0</v>
      </c>
      <c r="AR196">
        <f>($T$196) * (80)</f>
        <v>0</v>
      </c>
      <c r="AS196">
        <f>($U$196) * (225)</f>
        <v>0</v>
      </c>
      <c r="AT196">
        <f>($V$196) * (80)</f>
        <v>0</v>
      </c>
      <c r="AU196">
        <f>($W$196) * (80)</f>
        <v>0</v>
      </c>
      <c r="AV196">
        <f>($X$196) * (225)</f>
        <v>0</v>
      </c>
      <c r="AW196">
        <f>($Y$196) * (80)</f>
        <v>0</v>
      </c>
      <c r="AX196">
        <f>($Z$196) * (225)</f>
        <v>0</v>
      </c>
      <c r="AY196">
        <f>($AA$196) * (80)</f>
        <v>0</v>
      </c>
      <c r="AZ196">
        <f>($AB$196) * (295)</f>
        <v>0</v>
      </c>
      <c r="BA196">
        <f>($AC$196) * (150)</f>
        <v>0</v>
      </c>
      <c r="BB196">
        <f>($AD$196) * (365)</f>
        <v>0</v>
      </c>
      <c r="BC196">
        <f>($AE$196) * (435)</f>
        <v>0</v>
      </c>
      <c r="BO196">
        <v>1</v>
      </c>
      <c r="BP196">
        <f>SUM($R$196:$Z$196)</f>
        <v>0</v>
      </c>
    </row>
    <row r="197" spans="1:68" x14ac:dyDescent="0.25">
      <c r="A197">
        <v>146</v>
      </c>
      <c r="B197">
        <v>1</v>
      </c>
      <c r="C197">
        <v>22200</v>
      </c>
      <c r="D197">
        <v>3</v>
      </c>
      <c r="E197">
        <v>8</v>
      </c>
      <c r="F197" t="s">
        <v>7</v>
      </c>
      <c r="G197">
        <v>3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f>($H$197) * (225)</f>
        <v>0</v>
      </c>
      <c r="AG197">
        <f>($I$197) * (40)</f>
        <v>0</v>
      </c>
      <c r="AH197">
        <f>($J$197) * (40)</f>
        <v>0</v>
      </c>
      <c r="AI197">
        <f>($K$197) * (225)</f>
        <v>0</v>
      </c>
      <c r="AJ197">
        <f>($L$197) * (40)</f>
        <v>0</v>
      </c>
      <c r="AK197">
        <f>($M$197) * (40)</f>
        <v>0</v>
      </c>
      <c r="AL197">
        <f>($N$197) * (225)</f>
        <v>0</v>
      </c>
      <c r="AM197">
        <f>($O$197) * (225)</f>
        <v>0</v>
      </c>
      <c r="AN197">
        <f>($P$197) * (40)</f>
        <v>0</v>
      </c>
      <c r="AO197">
        <f>($Q$197) * (40)</f>
        <v>0</v>
      </c>
      <c r="AP197">
        <f>($R$197) * (225)</f>
        <v>0</v>
      </c>
      <c r="AQ197">
        <f>($S$197) * (40)</f>
        <v>0</v>
      </c>
      <c r="AR197">
        <f>($T$197) * (40)</f>
        <v>0</v>
      </c>
      <c r="AS197">
        <f>($U$197) * (275)</f>
        <v>0</v>
      </c>
      <c r="AT197">
        <f>($V$197) * (90)</f>
        <v>0</v>
      </c>
      <c r="AU197">
        <f>($W$197) * (90)</f>
        <v>0</v>
      </c>
      <c r="AV197">
        <f>($X$197) * (325)</f>
        <v>0</v>
      </c>
      <c r="AW197">
        <f>($Y$197) * (140)</f>
        <v>0</v>
      </c>
      <c r="AX197">
        <f>($Z$197) * (375)</f>
        <v>0</v>
      </c>
      <c r="AY197">
        <f>($AA$197) * (190)</f>
        <v>0</v>
      </c>
      <c r="AZ197">
        <f>($AB$197) * (425)</f>
        <v>0</v>
      </c>
      <c r="BA197">
        <f>($AC$197) * (240)</f>
        <v>0</v>
      </c>
      <c r="BB197">
        <f>($AD$197) * (475)</f>
        <v>0</v>
      </c>
      <c r="BC197">
        <f>($AE$197) * (525)</f>
        <v>0</v>
      </c>
      <c r="BO197">
        <v>1</v>
      </c>
      <c r="BP197">
        <f>SUM($O$197:$Z$197)</f>
        <v>0</v>
      </c>
    </row>
    <row r="198" spans="1:68" x14ac:dyDescent="0.25">
      <c r="A198">
        <v>147</v>
      </c>
      <c r="B198">
        <v>2</v>
      </c>
      <c r="C198">
        <v>14600</v>
      </c>
      <c r="D198">
        <v>5</v>
      </c>
      <c r="E198">
        <v>9</v>
      </c>
      <c r="F198" t="s">
        <v>7</v>
      </c>
      <c r="G198">
        <v>2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f>($H$198) * (225)</f>
        <v>0</v>
      </c>
      <c r="AG198">
        <f>($I$198) * (80)</f>
        <v>0</v>
      </c>
      <c r="AH198">
        <f>($J$198) * (80)</f>
        <v>0</v>
      </c>
      <c r="AI198">
        <f>($K$198) * (225)</f>
        <v>0</v>
      </c>
      <c r="AJ198">
        <f>($L$198) * (80)</f>
        <v>0</v>
      </c>
      <c r="AK198">
        <f>($M$198) * (80)</f>
        <v>0</v>
      </c>
      <c r="AL198">
        <f>($N$198) * (225)</f>
        <v>0</v>
      </c>
      <c r="AM198">
        <f>($O$198) * (225)</f>
        <v>0</v>
      </c>
      <c r="AN198">
        <f>($P$198) * (80)</f>
        <v>0</v>
      </c>
      <c r="AO198">
        <f>($Q$198) * (80)</f>
        <v>0</v>
      </c>
      <c r="AP198">
        <f>($R$198) * (225)</f>
        <v>0</v>
      </c>
      <c r="AQ198">
        <f>($S$198) * (80)</f>
        <v>0</v>
      </c>
      <c r="AR198">
        <f>($T$198) * (80)</f>
        <v>0</v>
      </c>
      <c r="AS198">
        <f>($U$198) * (225)</f>
        <v>0</v>
      </c>
      <c r="AT198">
        <f>($V$198) * (80)</f>
        <v>0</v>
      </c>
      <c r="AU198">
        <f>($W$198) * (80)</f>
        <v>0</v>
      </c>
      <c r="AV198">
        <f>($X$198) * (295)</f>
        <v>0</v>
      </c>
      <c r="AW198">
        <f>($Y$198) * (150)</f>
        <v>0</v>
      </c>
      <c r="AX198">
        <f>($Z$198) * (365)</f>
        <v>0</v>
      </c>
      <c r="AY198">
        <f>($AA$198) * (220)</f>
        <v>0</v>
      </c>
      <c r="AZ198">
        <f>($AB$198) * (435)</f>
        <v>0</v>
      </c>
      <c r="BA198">
        <f>($AC$198) * (290)</f>
        <v>0</v>
      </c>
      <c r="BB198">
        <f>($AD$198) * (505)</f>
        <v>0</v>
      </c>
      <c r="BC198">
        <f>($AE$198) * (575)</f>
        <v>0</v>
      </c>
      <c r="BO198">
        <v>1</v>
      </c>
      <c r="BP198">
        <f>SUM($U$198:$AB$198)</f>
        <v>0</v>
      </c>
    </row>
    <row r="199" spans="1:68" x14ac:dyDescent="0.25">
      <c r="A199">
        <v>148</v>
      </c>
      <c r="B199">
        <v>1</v>
      </c>
      <c r="C199">
        <v>28424</v>
      </c>
      <c r="D199">
        <v>3</v>
      </c>
      <c r="E199">
        <v>6</v>
      </c>
      <c r="F199" t="s">
        <v>7</v>
      </c>
      <c r="G199">
        <v>5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f>($H$199) * (225)</f>
        <v>0</v>
      </c>
      <c r="AG199">
        <f>($I$199) * (40)</f>
        <v>0</v>
      </c>
      <c r="AH199">
        <f>($J$199) * (40)</f>
        <v>0</v>
      </c>
      <c r="AI199">
        <f>($K$199) * (225)</f>
        <v>0</v>
      </c>
      <c r="AJ199">
        <f>($L$199) * (40)</f>
        <v>0</v>
      </c>
      <c r="AK199">
        <f>($M$199) * (40)</f>
        <v>0</v>
      </c>
      <c r="AL199">
        <f>($N$199) * (225)</f>
        <v>0</v>
      </c>
      <c r="AM199">
        <f>($O$199) * (225)</f>
        <v>0</v>
      </c>
      <c r="AN199">
        <f>($P$199) * (40)</f>
        <v>0</v>
      </c>
      <c r="AO199">
        <f>($Q$199) * (40)</f>
        <v>0</v>
      </c>
      <c r="AP199">
        <f>($R$199) * (225)</f>
        <v>0</v>
      </c>
      <c r="AQ199">
        <f>($S$199) * (40)</f>
        <v>0</v>
      </c>
      <c r="AR199">
        <f>($T$199) * (40)</f>
        <v>0</v>
      </c>
      <c r="AS199">
        <f>($U$199) * (225)</f>
        <v>0</v>
      </c>
      <c r="AT199">
        <f>($V$199) * (40)</f>
        <v>0</v>
      </c>
      <c r="AU199">
        <f>($W$199) * (40)</f>
        <v>0</v>
      </c>
      <c r="AV199">
        <f>($X$199) * (225)</f>
        <v>0</v>
      </c>
      <c r="AW199">
        <f>($Y$199) * (40)</f>
        <v>0</v>
      </c>
      <c r="AX199">
        <f>($Z$199) * (275)</f>
        <v>0</v>
      </c>
      <c r="AY199">
        <f>($AA$199) * (90)</f>
        <v>0</v>
      </c>
      <c r="AZ199">
        <f>($AB$199) * (325)</f>
        <v>0</v>
      </c>
      <c r="BA199">
        <f>($AC$199) * (140)</f>
        <v>0</v>
      </c>
      <c r="BB199">
        <f>($AD$199) * (375)</f>
        <v>0</v>
      </c>
      <c r="BC199">
        <f>($AE$199) * (425)</f>
        <v>0</v>
      </c>
      <c r="BO199">
        <v>1</v>
      </c>
      <c r="BP199">
        <f>SUM($O$199:$U$199)</f>
        <v>0</v>
      </c>
    </row>
    <row r="200" spans="1:68" x14ac:dyDescent="0.25">
      <c r="A200">
        <v>151</v>
      </c>
      <c r="B200">
        <v>2</v>
      </c>
      <c r="C200">
        <v>24610</v>
      </c>
      <c r="D200">
        <v>4</v>
      </c>
      <c r="E200">
        <v>7</v>
      </c>
      <c r="F200" t="s">
        <v>7</v>
      </c>
      <c r="G200">
        <v>5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f>($H$200) * (225)</f>
        <v>0</v>
      </c>
      <c r="AG200">
        <f>($I$200) * (80)</f>
        <v>0</v>
      </c>
      <c r="AH200">
        <f>($J$200) * (80)</f>
        <v>0</v>
      </c>
      <c r="AI200">
        <f>($K$200) * (225)</f>
        <v>0</v>
      </c>
      <c r="AJ200">
        <f>($L$200) * (80)</f>
        <v>0</v>
      </c>
      <c r="AK200">
        <f>($M$200) * (80)</f>
        <v>0</v>
      </c>
      <c r="AL200">
        <f>($N$200) * (225)</f>
        <v>0</v>
      </c>
      <c r="AM200">
        <f>($O$200) * (225)</f>
        <v>0</v>
      </c>
      <c r="AN200">
        <f>($P$200) * (80)</f>
        <v>0</v>
      </c>
      <c r="AO200">
        <f>($Q$200) * (80)</f>
        <v>0</v>
      </c>
      <c r="AP200">
        <f>($R$200) * (225)</f>
        <v>0</v>
      </c>
      <c r="AQ200">
        <f>($S$200) * (80)</f>
        <v>0</v>
      </c>
      <c r="AR200">
        <f>($T$200) * (80)</f>
        <v>0</v>
      </c>
      <c r="AS200">
        <f>($U$200) * (225)</f>
        <v>0</v>
      </c>
      <c r="AT200">
        <f>($V$200) * (80)</f>
        <v>0</v>
      </c>
      <c r="AU200">
        <f>($W$200) * (80)</f>
        <v>0</v>
      </c>
      <c r="AV200">
        <f>($X$200) * (225)</f>
        <v>0</v>
      </c>
      <c r="AW200">
        <f>($Y$200) * (80)</f>
        <v>0</v>
      </c>
      <c r="AX200">
        <f>($Z$200) * (225)</f>
        <v>0</v>
      </c>
      <c r="AY200">
        <f>($AA$200) * (80)</f>
        <v>0</v>
      </c>
      <c r="AZ200">
        <f>($AB$200) * (295)</f>
        <v>0</v>
      </c>
      <c r="BA200">
        <f>($AC$200) * (150)</f>
        <v>0</v>
      </c>
      <c r="BB200">
        <f>($AD$200) * (365)</f>
        <v>0</v>
      </c>
      <c r="BC200">
        <f>($AE$200) * (435)</f>
        <v>0</v>
      </c>
      <c r="BO200">
        <v>1</v>
      </c>
      <c r="BP200">
        <f>SUM($R$200:$X$200)</f>
        <v>0</v>
      </c>
    </row>
    <row r="201" spans="1:68" x14ac:dyDescent="0.25">
      <c r="A201">
        <v>153</v>
      </c>
      <c r="B201">
        <v>2</v>
      </c>
      <c r="C201">
        <v>29270</v>
      </c>
      <c r="D201">
        <v>6</v>
      </c>
      <c r="E201">
        <v>10</v>
      </c>
      <c r="F201" t="s">
        <v>7</v>
      </c>
      <c r="G201">
        <v>4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f>($H$201) * (225)</f>
        <v>0</v>
      </c>
      <c r="AG201">
        <f>($I$201) * (80)</f>
        <v>0</v>
      </c>
      <c r="AH201">
        <f>($J$201) * (80)</f>
        <v>0</v>
      </c>
      <c r="AI201">
        <f>($K$201) * (225)</f>
        <v>0</v>
      </c>
      <c r="AJ201">
        <f>($L$201) * (80)</f>
        <v>0</v>
      </c>
      <c r="AK201">
        <f>($M$201) * (80)</f>
        <v>0</v>
      </c>
      <c r="AL201">
        <f>($N$201) * (225)</f>
        <v>0</v>
      </c>
      <c r="AM201">
        <f>($O$201) * (225)</f>
        <v>0</v>
      </c>
      <c r="AN201">
        <f>($P$201) * (80)</f>
        <v>0</v>
      </c>
      <c r="AO201">
        <f>($Q$201) * (80)</f>
        <v>0</v>
      </c>
      <c r="AP201">
        <f>($R$201) * (225)</f>
        <v>0</v>
      </c>
      <c r="AQ201">
        <f>($S$201) * (80)</f>
        <v>0</v>
      </c>
      <c r="AR201">
        <f>($T$201) * (80)</f>
        <v>0</v>
      </c>
      <c r="AS201">
        <f>($U$201) * (225)</f>
        <v>0</v>
      </c>
      <c r="AT201">
        <f>($V$201) * (80)</f>
        <v>0</v>
      </c>
      <c r="AU201">
        <f>($W$201) * (80)</f>
        <v>0</v>
      </c>
      <c r="AV201">
        <f>($X$201) * (225)</f>
        <v>0</v>
      </c>
      <c r="AW201">
        <f>($Y$201) * (80)</f>
        <v>0</v>
      </c>
      <c r="AX201">
        <f>($Z$201) * (225)</f>
        <v>0</v>
      </c>
      <c r="AY201">
        <f>($AA$201) * (80)</f>
        <v>0</v>
      </c>
      <c r="AZ201">
        <f>($AB$201) * (225)</f>
        <v>0</v>
      </c>
      <c r="BA201">
        <f>($AC$201) * (80)</f>
        <v>0</v>
      </c>
      <c r="BB201">
        <f>($AD$201) * (295)</f>
        <v>0</v>
      </c>
      <c r="BC201">
        <f>($AE$201) * (365)</f>
        <v>0</v>
      </c>
      <c r="BO201">
        <v>1</v>
      </c>
      <c r="BP201">
        <f>SUM($X$201:$AD$201)</f>
        <v>0</v>
      </c>
    </row>
    <row r="202" spans="1:68" x14ac:dyDescent="0.25">
      <c r="A202">
        <v>154</v>
      </c>
      <c r="B202">
        <v>2</v>
      </c>
      <c r="C202">
        <v>29230</v>
      </c>
      <c r="D202">
        <v>2</v>
      </c>
      <c r="E202">
        <v>7</v>
      </c>
      <c r="F202" t="s">
        <v>7</v>
      </c>
      <c r="G202">
        <v>2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f>($H$202) * (225)</f>
        <v>0</v>
      </c>
      <c r="AG202">
        <f>($I$202) * (80)</f>
        <v>0</v>
      </c>
      <c r="AH202">
        <f>($J$202) * (80)</f>
        <v>0</v>
      </c>
      <c r="AI202">
        <f>($K$202) * (225)</f>
        <v>0</v>
      </c>
      <c r="AJ202">
        <f>($L$202) * (80)</f>
        <v>0</v>
      </c>
      <c r="AK202">
        <f>($M$202) * (80)</f>
        <v>0</v>
      </c>
      <c r="AL202">
        <f>($N$202) * (225)</f>
        <v>0</v>
      </c>
      <c r="AM202">
        <f>($O$202) * (295)</f>
        <v>0</v>
      </c>
      <c r="AN202">
        <f>($P$202) * (150)</f>
        <v>0</v>
      </c>
      <c r="AO202">
        <f>($Q$202) * (150)</f>
        <v>0</v>
      </c>
      <c r="AP202">
        <f>($R$202) * (365)</f>
        <v>0</v>
      </c>
      <c r="AQ202">
        <f>($S$202) * (220)</f>
        <v>0</v>
      </c>
      <c r="AR202">
        <f>($T$202) * (220)</f>
        <v>0</v>
      </c>
      <c r="AS202">
        <f>($U$202) * (435)</f>
        <v>0</v>
      </c>
      <c r="AT202">
        <f>($V$202) * (290)</f>
        <v>0</v>
      </c>
      <c r="AU202">
        <f>($W$202) * (290)</f>
        <v>0</v>
      </c>
      <c r="AV202">
        <f>($X$202) * (505)</f>
        <v>0</v>
      </c>
      <c r="AW202">
        <f>($Y$202) * (360)</f>
        <v>0</v>
      </c>
      <c r="AX202">
        <f>($Z$202) * (575)</f>
        <v>0</v>
      </c>
      <c r="AY202">
        <f>($AA$202) * (430)</f>
        <v>0</v>
      </c>
      <c r="AZ202">
        <f>($AB$202) * (645)</f>
        <v>0</v>
      </c>
      <c r="BA202">
        <f>($AC$202) * (500)</f>
        <v>0</v>
      </c>
      <c r="BB202">
        <f>($AD$202) * (715)</f>
        <v>0</v>
      </c>
      <c r="BC202">
        <f>($AE$202) * (785)</f>
        <v>0</v>
      </c>
      <c r="BO202">
        <v>1</v>
      </c>
      <c r="BP202">
        <f>SUM($N$202:$X$202)</f>
        <v>0</v>
      </c>
    </row>
    <row r="203" spans="1:68" x14ac:dyDescent="0.25">
      <c r="A203">
        <v>157</v>
      </c>
      <c r="B203">
        <v>2</v>
      </c>
      <c r="C203">
        <v>19200</v>
      </c>
      <c r="D203">
        <v>1</v>
      </c>
      <c r="E203">
        <v>4</v>
      </c>
      <c r="F203" t="s">
        <v>7</v>
      </c>
      <c r="G203">
        <v>4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f>($H$203) * (225)</f>
        <v>0</v>
      </c>
      <c r="AG203">
        <f>($I$203) * (80)</f>
        <v>0</v>
      </c>
      <c r="AH203">
        <f>($J$203) * (80)</f>
        <v>0</v>
      </c>
      <c r="AI203">
        <f>($K$203) * (225)</f>
        <v>0</v>
      </c>
      <c r="AJ203">
        <f>($L$203) * (80)</f>
        <v>0</v>
      </c>
      <c r="AK203">
        <f>($M$203) * (80)</f>
        <v>0</v>
      </c>
      <c r="AL203">
        <f>($N$203) * (225)</f>
        <v>0</v>
      </c>
      <c r="AM203">
        <f>($O$203) * (225)</f>
        <v>0</v>
      </c>
      <c r="AN203">
        <f>($P$203) * (80)</f>
        <v>0</v>
      </c>
      <c r="AO203">
        <f>($Q$203) * (80)</f>
        <v>0</v>
      </c>
      <c r="AP203">
        <f>($R$203) * (295)</f>
        <v>0</v>
      </c>
      <c r="AQ203">
        <f>($S$203) * (150)</f>
        <v>0</v>
      </c>
      <c r="AR203">
        <f>($T$203) * (150)</f>
        <v>0</v>
      </c>
      <c r="AS203">
        <f>($U$203) * (365)</f>
        <v>0</v>
      </c>
      <c r="AT203">
        <f>($V$203) * (220)</f>
        <v>0</v>
      </c>
      <c r="AU203">
        <f>($W$203) * (220)</f>
        <v>0</v>
      </c>
      <c r="AV203">
        <f>($X$203) * (435)</f>
        <v>0</v>
      </c>
      <c r="AW203">
        <f>($Y$203) * (290)</f>
        <v>0</v>
      </c>
      <c r="AX203">
        <f>($Z$203) * (505)</f>
        <v>0</v>
      </c>
      <c r="AY203">
        <f>($AA$203) * (360)</f>
        <v>0</v>
      </c>
      <c r="AZ203">
        <f>($AB$203) * (575)</f>
        <v>0</v>
      </c>
      <c r="BA203">
        <f>($AC$203) * (430)</f>
        <v>0</v>
      </c>
      <c r="BB203">
        <f>($AD$203) * (645)</f>
        <v>0</v>
      </c>
      <c r="BC203">
        <f>($AE$203) * (715)</f>
        <v>0</v>
      </c>
      <c r="BO203">
        <v>1</v>
      </c>
      <c r="BP203">
        <f>SUM($K$203:$O$203)</f>
        <v>0</v>
      </c>
    </row>
    <row r="204" spans="1:68" x14ac:dyDescent="0.25">
      <c r="A204">
        <v>158</v>
      </c>
      <c r="B204">
        <v>2</v>
      </c>
      <c r="C204">
        <v>12868</v>
      </c>
      <c r="D204">
        <v>3</v>
      </c>
      <c r="E204">
        <v>8</v>
      </c>
      <c r="F204" t="s">
        <v>7</v>
      </c>
      <c r="G204">
        <v>3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f>($H$204) * (225)</f>
        <v>0</v>
      </c>
      <c r="AG204">
        <f>($I$204) * (80)</f>
        <v>0</v>
      </c>
      <c r="AH204">
        <f>($J$204) * (80)</f>
        <v>0</v>
      </c>
      <c r="AI204">
        <f>($K$204) * (225)</f>
        <v>0</v>
      </c>
      <c r="AJ204">
        <f>($L$204) * (80)</f>
        <v>0</v>
      </c>
      <c r="AK204">
        <f>($M$204) * (80)</f>
        <v>0</v>
      </c>
      <c r="AL204">
        <f>($N$204) * (225)</f>
        <v>0</v>
      </c>
      <c r="AM204">
        <f>($O$204) * (225)</f>
        <v>0</v>
      </c>
      <c r="AN204">
        <f>($P$204) * (80)</f>
        <v>0</v>
      </c>
      <c r="AO204">
        <f>($Q$204) * (80)</f>
        <v>0</v>
      </c>
      <c r="AP204">
        <f>($R$204) * (225)</f>
        <v>0</v>
      </c>
      <c r="AQ204">
        <f>($S$204) * (80)</f>
        <v>0</v>
      </c>
      <c r="AR204">
        <f>($T$204) * (80)</f>
        <v>0</v>
      </c>
      <c r="AS204">
        <f>($U$204) * (295)</f>
        <v>0</v>
      </c>
      <c r="AT204">
        <f>($V$204) * (150)</f>
        <v>0</v>
      </c>
      <c r="AU204">
        <f>($W$204) * (150)</f>
        <v>0</v>
      </c>
      <c r="AV204">
        <f>($X$204) * (365)</f>
        <v>0</v>
      </c>
      <c r="AW204">
        <f>($Y$204) * (220)</f>
        <v>0</v>
      </c>
      <c r="AX204">
        <f>($Z$204) * (435)</f>
        <v>0</v>
      </c>
      <c r="AY204">
        <f>($AA$204) * (290)</f>
        <v>0</v>
      </c>
      <c r="AZ204">
        <f>($AB$204) * (505)</f>
        <v>0</v>
      </c>
      <c r="BA204">
        <f>($AC$204) * (360)</f>
        <v>0</v>
      </c>
      <c r="BB204">
        <f>($AD$204) * (575)</f>
        <v>0</v>
      </c>
      <c r="BC204">
        <f>($AE$204) * (645)</f>
        <v>0</v>
      </c>
      <c r="BO204">
        <v>1</v>
      </c>
      <c r="BP204">
        <f>SUM($O$204:$Z$204)</f>
        <v>0</v>
      </c>
    </row>
    <row r="205" spans="1:68" x14ac:dyDescent="0.25">
      <c r="A205">
        <v>159</v>
      </c>
      <c r="B205">
        <v>2</v>
      </c>
      <c r="C205">
        <v>12868</v>
      </c>
      <c r="D205">
        <v>1</v>
      </c>
      <c r="E205">
        <v>4</v>
      </c>
      <c r="F205" t="s">
        <v>7</v>
      </c>
      <c r="G205">
        <v>4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f>($H$205) * (225)</f>
        <v>0</v>
      </c>
      <c r="AG205">
        <f>($I$205) * (80)</f>
        <v>0</v>
      </c>
      <c r="AH205">
        <f>($J$205) * (80)</f>
        <v>0</v>
      </c>
      <c r="AI205">
        <f>($K$205) * (225)</f>
        <v>0</v>
      </c>
      <c r="AJ205">
        <f>($L$205) * (80)</f>
        <v>0</v>
      </c>
      <c r="AK205">
        <f>($M$205) * (80)</f>
        <v>0</v>
      </c>
      <c r="AL205">
        <f>($N$205) * (225)</f>
        <v>0</v>
      </c>
      <c r="AM205">
        <f>($O$205) * (225)</f>
        <v>0</v>
      </c>
      <c r="AN205">
        <f>($P$205) * (80)</f>
        <v>0</v>
      </c>
      <c r="AO205">
        <f>($Q$205) * (80)</f>
        <v>0</v>
      </c>
      <c r="AP205">
        <f>($R$205) * (295)</f>
        <v>0</v>
      </c>
      <c r="AQ205">
        <f>($S$205) * (150)</f>
        <v>0</v>
      </c>
      <c r="AR205">
        <f>($T$205) * (150)</f>
        <v>0</v>
      </c>
      <c r="AS205">
        <f>($U$205) * (365)</f>
        <v>0</v>
      </c>
      <c r="AT205">
        <f>($V$205) * (220)</f>
        <v>0</v>
      </c>
      <c r="AU205">
        <f>($W$205) * (220)</f>
        <v>0</v>
      </c>
      <c r="AV205">
        <f>($X$205) * (435)</f>
        <v>0</v>
      </c>
      <c r="AW205">
        <f>($Y$205) * (290)</f>
        <v>0</v>
      </c>
      <c r="AX205">
        <f>($Z$205) * (505)</f>
        <v>0</v>
      </c>
      <c r="AY205">
        <f>($AA$205) * (360)</f>
        <v>0</v>
      </c>
      <c r="AZ205">
        <f>($AB$205) * (575)</f>
        <v>0</v>
      </c>
      <c r="BA205">
        <f>($AC$205) * (430)</f>
        <v>0</v>
      </c>
      <c r="BB205">
        <f>($AD$205) * (645)</f>
        <v>0</v>
      </c>
      <c r="BC205">
        <f>($AE$205) * (715)</f>
        <v>0</v>
      </c>
      <c r="BO205">
        <v>1</v>
      </c>
      <c r="BP205">
        <f>SUM($K$205:$O$205)</f>
        <v>0</v>
      </c>
    </row>
    <row r="206" spans="1:68" x14ac:dyDescent="0.25">
      <c r="A206">
        <v>160</v>
      </c>
      <c r="B206">
        <v>2</v>
      </c>
      <c r="C206">
        <v>12868</v>
      </c>
      <c r="D206">
        <v>6</v>
      </c>
      <c r="E206">
        <v>11</v>
      </c>
      <c r="F206" t="s">
        <v>7</v>
      </c>
      <c r="G206">
        <v>4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f>($H$206) * (225)</f>
        <v>0</v>
      </c>
      <c r="AG206">
        <f>($I$206) * (80)</f>
        <v>0</v>
      </c>
      <c r="AH206">
        <f>($J$206) * (80)</f>
        <v>0</v>
      </c>
      <c r="AI206">
        <f>($K$206) * (225)</f>
        <v>0</v>
      </c>
      <c r="AJ206">
        <f>($L$206) * (80)</f>
        <v>0</v>
      </c>
      <c r="AK206">
        <f>($M$206) * (80)</f>
        <v>0</v>
      </c>
      <c r="AL206">
        <f>($N$206) * (225)</f>
        <v>0</v>
      </c>
      <c r="AM206">
        <f>($O$206) * (225)</f>
        <v>0</v>
      </c>
      <c r="AN206">
        <f>($P$206) * (80)</f>
        <v>0</v>
      </c>
      <c r="AO206">
        <f>($Q$206) * (80)</f>
        <v>0</v>
      </c>
      <c r="AP206">
        <f>($R$206) * (225)</f>
        <v>0</v>
      </c>
      <c r="AQ206">
        <f>($S$206) * (80)</f>
        <v>0</v>
      </c>
      <c r="AR206">
        <f>($T$206) * (80)</f>
        <v>0</v>
      </c>
      <c r="AS206">
        <f>($U$206) * (225)</f>
        <v>0</v>
      </c>
      <c r="AT206">
        <f>($V$206) * (80)</f>
        <v>0</v>
      </c>
      <c r="AU206">
        <f>($W$206) * (80)</f>
        <v>0</v>
      </c>
      <c r="AV206">
        <f>($X$206) * (225)</f>
        <v>0</v>
      </c>
      <c r="AW206">
        <f>($Y$206) * (80)</f>
        <v>0</v>
      </c>
      <c r="AX206">
        <f>($Z$206) * (225)</f>
        <v>0</v>
      </c>
      <c r="AY206">
        <f>($AA$206) * (80)</f>
        <v>0</v>
      </c>
      <c r="AZ206">
        <f>($AB$206) * (225)</f>
        <v>0</v>
      </c>
      <c r="BA206">
        <f>($AC$206) * (80)</f>
        <v>0</v>
      </c>
      <c r="BB206">
        <f>($AD$206) * (295)</f>
        <v>0</v>
      </c>
      <c r="BC206">
        <f>($AE$206) * (365)</f>
        <v>0</v>
      </c>
      <c r="BO206">
        <v>1</v>
      </c>
      <c r="BP206">
        <f>SUM($X$206:$AE$206)</f>
        <v>0</v>
      </c>
    </row>
    <row r="207" spans="1:68" x14ac:dyDescent="0.25">
      <c r="A207">
        <v>161</v>
      </c>
      <c r="B207">
        <v>2</v>
      </c>
      <c r="C207">
        <v>12868</v>
      </c>
      <c r="D207">
        <v>5</v>
      </c>
      <c r="E207">
        <v>9</v>
      </c>
      <c r="F207" t="s">
        <v>7</v>
      </c>
      <c r="G207">
        <v>3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f>($H$207) * (225)</f>
        <v>0</v>
      </c>
      <c r="AG207">
        <f>($I$207) * (80)</f>
        <v>0</v>
      </c>
      <c r="AH207">
        <f>($J$207) * (80)</f>
        <v>0</v>
      </c>
      <c r="AI207">
        <f>($K$207) * (225)</f>
        <v>0</v>
      </c>
      <c r="AJ207">
        <f>($L$207) * (80)</f>
        <v>0</v>
      </c>
      <c r="AK207">
        <f>($M$207) * (80)</f>
        <v>0</v>
      </c>
      <c r="AL207">
        <f>($N$207) * (225)</f>
        <v>0</v>
      </c>
      <c r="AM207">
        <f>($O$207) * (225)</f>
        <v>0</v>
      </c>
      <c r="AN207">
        <f>($P$207) * (80)</f>
        <v>0</v>
      </c>
      <c r="AO207">
        <f>($Q$207) * (80)</f>
        <v>0</v>
      </c>
      <c r="AP207">
        <f>($R$207) * (225)</f>
        <v>0</v>
      </c>
      <c r="AQ207">
        <f>($S$207) * (80)</f>
        <v>0</v>
      </c>
      <c r="AR207">
        <f>($T$207) * (80)</f>
        <v>0</v>
      </c>
      <c r="AS207">
        <f>($U$207) * (225)</f>
        <v>0</v>
      </c>
      <c r="AT207">
        <f>($V$207) * (80)</f>
        <v>0</v>
      </c>
      <c r="AU207">
        <f>($W$207) * (80)</f>
        <v>0</v>
      </c>
      <c r="AV207">
        <f>($X$207) * (225)</f>
        <v>0</v>
      </c>
      <c r="AW207">
        <f>($Y$207) * (80)</f>
        <v>0</v>
      </c>
      <c r="AX207">
        <f>($Z$207) * (295)</f>
        <v>0</v>
      </c>
      <c r="AY207">
        <f>($AA$207) * (150)</f>
        <v>0</v>
      </c>
      <c r="AZ207">
        <f>($AB$207) * (365)</f>
        <v>0</v>
      </c>
      <c r="BA207">
        <f>($AC$207) * (220)</f>
        <v>0</v>
      </c>
      <c r="BB207">
        <f>($AD$207) * (435)</f>
        <v>0</v>
      </c>
      <c r="BC207">
        <f>($AE$207) * (505)</f>
        <v>0</v>
      </c>
      <c r="BO207">
        <v>1</v>
      </c>
      <c r="BP207">
        <f>SUM($U$207:$AB$207)</f>
        <v>0</v>
      </c>
    </row>
    <row r="208" spans="1:68" x14ac:dyDescent="0.25">
      <c r="A208">
        <v>162</v>
      </c>
      <c r="B208">
        <v>2</v>
      </c>
      <c r="C208">
        <v>12868</v>
      </c>
      <c r="D208">
        <v>0</v>
      </c>
      <c r="E208">
        <v>3</v>
      </c>
      <c r="F208" t="s">
        <v>7</v>
      </c>
      <c r="G208">
        <v>3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f>($H$208) * (225)</f>
        <v>0</v>
      </c>
      <c r="AG208">
        <f>($I$208) * (80)</f>
        <v>0</v>
      </c>
      <c r="AH208">
        <f>($J$208) * (80)</f>
        <v>0</v>
      </c>
      <c r="AI208">
        <f>($K$208) * (225)</f>
        <v>0</v>
      </c>
      <c r="AJ208">
        <f>($L$208) * (80)</f>
        <v>0</v>
      </c>
      <c r="AK208">
        <f>($M$208) * (80)</f>
        <v>0</v>
      </c>
      <c r="AL208">
        <f>($N$208) * (295)</f>
        <v>0</v>
      </c>
      <c r="AM208">
        <f>($O$208) * (365)</f>
        <v>0</v>
      </c>
      <c r="AN208">
        <f>($P$208) * (220)</f>
        <v>0</v>
      </c>
      <c r="AO208">
        <f>($Q$208) * (220)</f>
        <v>0</v>
      </c>
      <c r="AP208">
        <f>($R$208) * (435)</f>
        <v>0</v>
      </c>
      <c r="AQ208">
        <f>($S$208) * (290)</f>
        <v>0</v>
      </c>
      <c r="AR208">
        <f>($T$208) * (290)</f>
        <v>0</v>
      </c>
      <c r="AS208">
        <f>($U$208) * (505)</f>
        <v>0</v>
      </c>
      <c r="AT208">
        <f>($V$208) * (360)</f>
        <v>0</v>
      </c>
      <c r="AU208">
        <f>($W$208) * (360)</f>
        <v>0</v>
      </c>
      <c r="AV208">
        <f>($X$208) * (575)</f>
        <v>0</v>
      </c>
      <c r="AW208">
        <f>($Y$208) * (430)</f>
        <v>0</v>
      </c>
      <c r="AX208">
        <f>($Z$208) * (645)</f>
        <v>0</v>
      </c>
      <c r="AY208">
        <f>($AA$208) * (500)</f>
        <v>0</v>
      </c>
      <c r="AZ208">
        <f>($AB$208) * (715)</f>
        <v>0</v>
      </c>
      <c r="BA208">
        <f>($AC$208) * (570)</f>
        <v>0</v>
      </c>
      <c r="BB208">
        <f>($AD$208) * (785)</f>
        <v>0</v>
      </c>
      <c r="BC208">
        <f>($AE$208) * (855)</f>
        <v>0</v>
      </c>
      <c r="BO208">
        <v>1</v>
      </c>
      <c r="BP208">
        <f>SUM($H$208:$N$208)</f>
        <v>0</v>
      </c>
    </row>
    <row r="209" spans="1:68" x14ac:dyDescent="0.25">
      <c r="A209">
        <v>166</v>
      </c>
      <c r="B209">
        <v>1</v>
      </c>
      <c r="C209">
        <v>20583</v>
      </c>
      <c r="D209">
        <v>4</v>
      </c>
      <c r="E209">
        <v>7</v>
      </c>
      <c r="F209" t="s">
        <v>7</v>
      </c>
      <c r="G209">
        <v>3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f>($H$209) * (225)</f>
        <v>0</v>
      </c>
      <c r="AG209">
        <f>($I$209) * (40)</f>
        <v>0</v>
      </c>
      <c r="AH209">
        <f>($J$209) * (40)</f>
        <v>0</v>
      </c>
      <c r="AI209">
        <f>($K$209) * (225)</f>
        <v>0</v>
      </c>
      <c r="AJ209">
        <f>($L$209) * (40)</f>
        <v>0</v>
      </c>
      <c r="AK209">
        <f>($M$209) * (40)</f>
        <v>0</v>
      </c>
      <c r="AL209">
        <f>($N$209) * (225)</f>
        <v>0</v>
      </c>
      <c r="AM209">
        <f>($O$209) * (225)</f>
        <v>0</v>
      </c>
      <c r="AN209">
        <f>($P$209) * (40)</f>
        <v>0</v>
      </c>
      <c r="AO209">
        <f>($Q$209) * (40)</f>
        <v>0</v>
      </c>
      <c r="AP209">
        <f>($R$209) * (225)</f>
        <v>0</v>
      </c>
      <c r="AQ209">
        <f>($S$209) * (40)</f>
        <v>0</v>
      </c>
      <c r="AR209">
        <f>($T$209) * (40)</f>
        <v>0</v>
      </c>
      <c r="AS209">
        <f>($U$209) * (225)</f>
        <v>0</v>
      </c>
      <c r="AT209">
        <f>($V$209) * (40)</f>
        <v>0</v>
      </c>
      <c r="AU209">
        <f>($W$209) * (40)</f>
        <v>0</v>
      </c>
      <c r="AV209">
        <f>($X$209) * (275)</f>
        <v>0</v>
      </c>
      <c r="AW209">
        <f>($Y$209) * (90)</f>
        <v>0</v>
      </c>
      <c r="AX209">
        <f>($Z$209) * (325)</f>
        <v>0</v>
      </c>
      <c r="AY209">
        <f>($AA$209) * (140)</f>
        <v>0</v>
      </c>
      <c r="AZ209">
        <f>($AB$209) * (375)</f>
        <v>0</v>
      </c>
      <c r="BA209">
        <f>($AC$209) * (190)</f>
        <v>0</v>
      </c>
      <c r="BB209">
        <f>($AD$209) * (425)</f>
        <v>0</v>
      </c>
      <c r="BC209">
        <f>($AE$209) * (475)</f>
        <v>0</v>
      </c>
      <c r="BO209">
        <v>1</v>
      </c>
      <c r="BP209">
        <f>SUM($R$209:$X$209)</f>
        <v>0</v>
      </c>
    </row>
    <row r="210" spans="1:68" x14ac:dyDescent="0.25">
      <c r="A210">
        <v>167</v>
      </c>
      <c r="B210">
        <v>1</v>
      </c>
      <c r="C210">
        <v>20583</v>
      </c>
      <c r="D210">
        <v>3</v>
      </c>
      <c r="E210">
        <v>8</v>
      </c>
      <c r="F210" t="s">
        <v>7</v>
      </c>
      <c r="G210">
        <v>4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f>($H$210) * (225)</f>
        <v>0</v>
      </c>
      <c r="AG210">
        <f>($I$210) * (40)</f>
        <v>0</v>
      </c>
      <c r="AH210">
        <f>($J$210) * (40)</f>
        <v>0</v>
      </c>
      <c r="AI210">
        <f>($K$210) * (225)</f>
        <v>0</v>
      </c>
      <c r="AJ210">
        <f>($L$210) * (40)</f>
        <v>0</v>
      </c>
      <c r="AK210">
        <f>($M$210) * (40)</f>
        <v>0</v>
      </c>
      <c r="AL210">
        <f>($N$210) * (225)</f>
        <v>0</v>
      </c>
      <c r="AM210">
        <f>($O$210) * (225)</f>
        <v>0</v>
      </c>
      <c r="AN210">
        <f>($P$210) * (40)</f>
        <v>0</v>
      </c>
      <c r="AO210">
        <f>($Q$210) * (40)</f>
        <v>0</v>
      </c>
      <c r="AP210">
        <f>($R$210) * (225)</f>
        <v>0</v>
      </c>
      <c r="AQ210">
        <f>($S$210) * (40)</f>
        <v>0</v>
      </c>
      <c r="AR210">
        <f>($T$210) * (40)</f>
        <v>0</v>
      </c>
      <c r="AS210">
        <f>($U$210) * (225)</f>
        <v>0</v>
      </c>
      <c r="AT210">
        <f>($V$210) * (40)</f>
        <v>0</v>
      </c>
      <c r="AU210">
        <f>($W$210) * (40)</f>
        <v>0</v>
      </c>
      <c r="AV210">
        <f>($X$210) * (275)</f>
        <v>0</v>
      </c>
      <c r="AW210">
        <f>($Y$210) * (90)</f>
        <v>0</v>
      </c>
      <c r="AX210">
        <f>($Z$210) * (325)</f>
        <v>0</v>
      </c>
      <c r="AY210">
        <f>($AA$210) * (140)</f>
        <v>0</v>
      </c>
      <c r="AZ210">
        <f>($AB$210) * (375)</f>
        <v>0</v>
      </c>
      <c r="BA210">
        <f>($AC$210) * (190)</f>
        <v>0</v>
      </c>
      <c r="BB210">
        <f>($AD$210) * (425)</f>
        <v>0</v>
      </c>
      <c r="BC210">
        <f>($AE$210) * (475)</f>
        <v>0</v>
      </c>
      <c r="BO210">
        <v>1</v>
      </c>
      <c r="BP210">
        <f>SUM($O$210:$Z$210)</f>
        <v>0</v>
      </c>
    </row>
    <row r="211" spans="1:68" x14ac:dyDescent="0.25">
      <c r="A211">
        <v>170</v>
      </c>
      <c r="B211">
        <v>1</v>
      </c>
      <c r="C211">
        <v>21473</v>
      </c>
      <c r="D211">
        <v>3</v>
      </c>
      <c r="E211">
        <v>7</v>
      </c>
      <c r="F211" t="s">
        <v>7</v>
      </c>
      <c r="G211">
        <v>4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f>($H$211) * (225)</f>
        <v>0</v>
      </c>
      <c r="AG211">
        <f>($I$211) * (40)</f>
        <v>0</v>
      </c>
      <c r="AH211">
        <f>($J$211) * (40)</f>
        <v>0</v>
      </c>
      <c r="AI211">
        <f>($K$211) * (225)</f>
        <v>0</v>
      </c>
      <c r="AJ211">
        <f>($L$211) * (40)</f>
        <v>0</v>
      </c>
      <c r="AK211">
        <f>($M$211) * (40)</f>
        <v>0</v>
      </c>
      <c r="AL211">
        <f>($N$211) * (225)</f>
        <v>0</v>
      </c>
      <c r="AM211">
        <f>($O$211) * (225)</f>
        <v>0</v>
      </c>
      <c r="AN211">
        <f>($P$211) * (40)</f>
        <v>0</v>
      </c>
      <c r="AO211">
        <f>($Q$211) * (40)</f>
        <v>0</v>
      </c>
      <c r="AP211">
        <f>($R$211) * (225)</f>
        <v>0</v>
      </c>
      <c r="AQ211">
        <f>($S$211) * (40)</f>
        <v>0</v>
      </c>
      <c r="AR211">
        <f>($T$211) * (40)</f>
        <v>0</v>
      </c>
      <c r="AS211">
        <f>($U$211) * (225)</f>
        <v>0</v>
      </c>
      <c r="AT211">
        <f>($V$211) * (40)</f>
        <v>0</v>
      </c>
      <c r="AU211">
        <f>($W$211) * (40)</f>
        <v>0</v>
      </c>
      <c r="AV211">
        <f>($X$211) * (275)</f>
        <v>0</v>
      </c>
      <c r="AW211">
        <f>($Y$211) * (90)</f>
        <v>0</v>
      </c>
      <c r="AX211">
        <f>($Z$211) * (325)</f>
        <v>0</v>
      </c>
      <c r="AY211">
        <f>($AA$211) * (140)</f>
        <v>0</v>
      </c>
      <c r="AZ211">
        <f>($AB$211) * (375)</f>
        <v>0</v>
      </c>
      <c r="BA211">
        <f>($AC$211) * (190)</f>
        <v>0</v>
      </c>
      <c r="BB211">
        <f>($AD$211) * (425)</f>
        <v>0</v>
      </c>
      <c r="BC211">
        <f>($AE$211) * (475)</f>
        <v>0</v>
      </c>
      <c r="BO211">
        <v>1</v>
      </c>
      <c r="BP211">
        <f>SUM($O$211:$X$211)</f>
        <v>0</v>
      </c>
    </row>
    <row r="212" spans="1:68" x14ac:dyDescent="0.25">
      <c r="A212">
        <v>175</v>
      </c>
      <c r="B212">
        <v>1</v>
      </c>
      <c r="C212">
        <v>18900</v>
      </c>
      <c r="D212">
        <v>2</v>
      </c>
      <c r="E212">
        <v>6</v>
      </c>
      <c r="F212" t="s">
        <v>7</v>
      </c>
      <c r="G212">
        <v>4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f>($H$212) * (225)</f>
        <v>0</v>
      </c>
      <c r="AG212">
        <f>($I$212) * (40)</f>
        <v>0</v>
      </c>
      <c r="AH212">
        <f>($J$212) * (40)</f>
        <v>0</v>
      </c>
      <c r="AI212">
        <f>($K$212) * (225)</f>
        <v>0</v>
      </c>
      <c r="AJ212">
        <f>($L$212) * (40)</f>
        <v>0</v>
      </c>
      <c r="AK212">
        <f>($M$212) * (40)</f>
        <v>0</v>
      </c>
      <c r="AL212">
        <f>($N$212) * (225)</f>
        <v>0</v>
      </c>
      <c r="AM212">
        <f>($O$212) * (225)</f>
        <v>0</v>
      </c>
      <c r="AN212">
        <f>($P$212) * (40)</f>
        <v>0</v>
      </c>
      <c r="AO212">
        <f>($Q$212) * (40)</f>
        <v>0</v>
      </c>
      <c r="AP212">
        <f>($R$212) * (225)</f>
        <v>0</v>
      </c>
      <c r="AQ212">
        <f>($S$212) * (40)</f>
        <v>0</v>
      </c>
      <c r="AR212">
        <f>($T$212) * (40)</f>
        <v>0</v>
      </c>
      <c r="AS212">
        <f>($U$212) * (275)</f>
        <v>0</v>
      </c>
      <c r="AT212">
        <f>($V$212) * (90)</f>
        <v>0</v>
      </c>
      <c r="AU212">
        <f>($W$212) * (90)</f>
        <v>0</v>
      </c>
      <c r="AV212">
        <f>($X$212) * (325)</f>
        <v>0</v>
      </c>
      <c r="AW212">
        <f>($Y$212) * (140)</f>
        <v>0</v>
      </c>
      <c r="AX212">
        <f>($Z$212) * (375)</f>
        <v>0</v>
      </c>
      <c r="AY212">
        <f>($AA$212) * (190)</f>
        <v>0</v>
      </c>
      <c r="AZ212">
        <f>($AB$212) * (425)</f>
        <v>0</v>
      </c>
      <c r="BA212">
        <f>($AC$212) * (240)</f>
        <v>0</v>
      </c>
      <c r="BB212">
        <f>($AD$212) * (475)</f>
        <v>0</v>
      </c>
      <c r="BC212">
        <f>($AE$212) * (525)</f>
        <v>0</v>
      </c>
      <c r="BO212">
        <v>1</v>
      </c>
      <c r="BP212">
        <f>SUM($N$212:$U$212)</f>
        <v>0</v>
      </c>
    </row>
    <row r="213" spans="1:68" x14ac:dyDescent="0.25">
      <c r="A213">
        <v>177</v>
      </c>
      <c r="B213">
        <v>1</v>
      </c>
      <c r="C213">
        <v>18890</v>
      </c>
      <c r="D213">
        <v>-1</v>
      </c>
      <c r="E213">
        <v>3</v>
      </c>
      <c r="F213" t="s">
        <v>7</v>
      </c>
      <c r="G213">
        <v>3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f>($H$213) * (225)</f>
        <v>0</v>
      </c>
      <c r="AG213">
        <f>($I$213) * (40)</f>
        <v>0</v>
      </c>
      <c r="AH213">
        <f>($J$213) * (40)</f>
        <v>0</v>
      </c>
      <c r="AI213">
        <f>($K$213) * (275)</f>
        <v>0</v>
      </c>
      <c r="AJ213">
        <f>($L$213) * (90)</f>
        <v>0</v>
      </c>
      <c r="AK213">
        <f>($M$213) * (90)</f>
        <v>0</v>
      </c>
      <c r="AL213">
        <f>($N$213) * (325)</f>
        <v>0</v>
      </c>
      <c r="AM213">
        <f>($O$213) * (375)</f>
        <v>0</v>
      </c>
      <c r="AN213">
        <f>($P$213) * (190)</f>
        <v>0</v>
      </c>
      <c r="AO213">
        <f>($Q$213) * (190)</f>
        <v>0</v>
      </c>
      <c r="AP213">
        <f>($R$213) * (425)</f>
        <v>0</v>
      </c>
      <c r="AQ213">
        <f>($S$213) * (240)</f>
        <v>0</v>
      </c>
      <c r="AR213">
        <f>($T$213) * (240)</f>
        <v>0</v>
      </c>
      <c r="AS213">
        <f>($U$213) * (475)</f>
        <v>0</v>
      </c>
      <c r="AT213">
        <f>($V$213) * (290)</f>
        <v>0</v>
      </c>
      <c r="AU213">
        <f>($W$213) * (290)</f>
        <v>0</v>
      </c>
      <c r="AV213">
        <f>($X$213) * (525)</f>
        <v>0</v>
      </c>
      <c r="AW213">
        <f>($Y$213) * (340)</f>
        <v>0</v>
      </c>
      <c r="AX213">
        <f>($Z$213) * (575)</f>
        <v>0</v>
      </c>
      <c r="AY213">
        <f>($AA$213) * (390)</f>
        <v>0</v>
      </c>
      <c r="AZ213">
        <f>($AB$213) * (625)</f>
        <v>0</v>
      </c>
      <c r="BA213">
        <f>($AC$213) * (440)</f>
        <v>0</v>
      </c>
      <c r="BB213">
        <f>($AD$213) * (675)</f>
        <v>0</v>
      </c>
      <c r="BC213">
        <f>($AE$213) * (725)</f>
        <v>0</v>
      </c>
      <c r="BO213">
        <v>1</v>
      </c>
      <c r="BP213">
        <f>SUM($H$213:$N$213)</f>
        <v>0</v>
      </c>
    </row>
    <row r="214" spans="1:68" x14ac:dyDescent="0.25">
      <c r="A214">
        <v>178</v>
      </c>
      <c r="B214">
        <v>1</v>
      </c>
      <c r="C214">
        <v>18890</v>
      </c>
      <c r="D214">
        <v>5</v>
      </c>
      <c r="E214">
        <v>10</v>
      </c>
      <c r="F214" t="s">
        <v>7</v>
      </c>
      <c r="G214">
        <v>4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f>($H$214) * (225)</f>
        <v>0</v>
      </c>
      <c r="AG214">
        <f>($I$214) * (40)</f>
        <v>0</v>
      </c>
      <c r="AH214">
        <f>($J$214) * (40)</f>
        <v>0</v>
      </c>
      <c r="AI214">
        <f>($K$214) * (225)</f>
        <v>0</v>
      </c>
      <c r="AJ214">
        <f>($L$214) * (40)</f>
        <v>0</v>
      </c>
      <c r="AK214">
        <f>($M$214) * (40)</f>
        <v>0</v>
      </c>
      <c r="AL214">
        <f>($N$214) * (225)</f>
        <v>0</v>
      </c>
      <c r="AM214">
        <f>($O$214) * (225)</f>
        <v>0</v>
      </c>
      <c r="AN214">
        <f>($P$214) * (40)</f>
        <v>0</v>
      </c>
      <c r="AO214">
        <f>($Q$214) * (40)</f>
        <v>0</v>
      </c>
      <c r="AP214">
        <f>($R$214) * (225)</f>
        <v>0</v>
      </c>
      <c r="AQ214">
        <f>($S$214) * (40)</f>
        <v>0</v>
      </c>
      <c r="AR214">
        <f>($T$214) * (40)</f>
        <v>0</v>
      </c>
      <c r="AS214">
        <f>($U$214) * (225)</f>
        <v>0</v>
      </c>
      <c r="AT214">
        <f>($V$214) * (40)</f>
        <v>0</v>
      </c>
      <c r="AU214">
        <f>($W$214) * (40)</f>
        <v>0</v>
      </c>
      <c r="AV214">
        <f>($X$214) * (225)</f>
        <v>0</v>
      </c>
      <c r="AW214">
        <f>($Y$214) * (40)</f>
        <v>0</v>
      </c>
      <c r="AX214">
        <f>($Z$214) * (225)</f>
        <v>0</v>
      </c>
      <c r="AY214">
        <f>($AA$214) * (40)</f>
        <v>0</v>
      </c>
      <c r="AZ214">
        <f>($AB$214) * (275)</f>
        <v>0</v>
      </c>
      <c r="BA214">
        <f>($AC$214) * (90)</f>
        <v>0</v>
      </c>
      <c r="BB214">
        <f>($AD$214) * (325)</f>
        <v>0</v>
      </c>
      <c r="BC214">
        <f>($AE$214) * (375)</f>
        <v>0</v>
      </c>
      <c r="BO214">
        <v>1</v>
      </c>
      <c r="BP214">
        <f>SUM($U$214:$AD$214)</f>
        <v>0</v>
      </c>
    </row>
    <row r="215" spans="1:68" x14ac:dyDescent="0.25">
      <c r="A215">
        <v>179</v>
      </c>
      <c r="B215">
        <v>1</v>
      </c>
      <c r="C215">
        <v>24696</v>
      </c>
      <c r="D215">
        <v>4</v>
      </c>
      <c r="E215">
        <v>8</v>
      </c>
      <c r="F215" t="s">
        <v>7</v>
      </c>
      <c r="G215">
        <v>4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f>($H$215) * (225)</f>
        <v>0</v>
      </c>
      <c r="AG215">
        <f>($I$215) * (40)</f>
        <v>0</v>
      </c>
      <c r="AH215">
        <f>($J$215) * (40)</f>
        <v>0</v>
      </c>
      <c r="AI215">
        <f>($K$215) * (225)</f>
        <v>0</v>
      </c>
      <c r="AJ215">
        <f>($L$215) * (40)</f>
        <v>0</v>
      </c>
      <c r="AK215">
        <f>($M$215) * (40)</f>
        <v>0</v>
      </c>
      <c r="AL215">
        <f>($N$215) * (225)</f>
        <v>0</v>
      </c>
      <c r="AM215">
        <f>($O$215) * (225)</f>
        <v>0</v>
      </c>
      <c r="AN215">
        <f>($P$215) * (40)</f>
        <v>0</v>
      </c>
      <c r="AO215">
        <f>($Q$215) * (40)</f>
        <v>0</v>
      </c>
      <c r="AP215">
        <f>($R$215) * (225)</f>
        <v>0</v>
      </c>
      <c r="AQ215">
        <f>($S$215) * (40)</f>
        <v>0</v>
      </c>
      <c r="AR215">
        <f>($T$215) * (40)</f>
        <v>0</v>
      </c>
      <c r="AS215">
        <f>($U$215) * (225)</f>
        <v>0</v>
      </c>
      <c r="AT215">
        <f>($V$215) * (40)</f>
        <v>0</v>
      </c>
      <c r="AU215">
        <f>($W$215) * (40)</f>
        <v>0</v>
      </c>
      <c r="AV215">
        <f>($X$215) * (225)</f>
        <v>0</v>
      </c>
      <c r="AW215">
        <f>($Y$215) * (40)</f>
        <v>0</v>
      </c>
      <c r="AX215">
        <f>($Z$215) * (275)</f>
        <v>0</v>
      </c>
      <c r="AY215">
        <f>($AA$215) * (90)</f>
        <v>0</v>
      </c>
      <c r="AZ215">
        <f>($AB$215) * (325)</f>
        <v>0</v>
      </c>
      <c r="BA215">
        <f>($AC$215) * (140)</f>
        <v>0</v>
      </c>
      <c r="BB215">
        <f>($AD$215) * (375)</f>
        <v>0</v>
      </c>
      <c r="BC215">
        <f>($AE$215) * (425)</f>
        <v>0</v>
      </c>
      <c r="BO215">
        <v>1</v>
      </c>
      <c r="BP215">
        <f>SUM($R$215:$Z$215)</f>
        <v>0</v>
      </c>
    </row>
    <row r="216" spans="1:68" x14ac:dyDescent="0.25">
      <c r="A216">
        <v>180</v>
      </c>
      <c r="B216">
        <v>2</v>
      </c>
      <c r="C216">
        <v>9200</v>
      </c>
      <c r="D216">
        <v>3</v>
      </c>
      <c r="E216">
        <v>7</v>
      </c>
      <c r="F216" t="s">
        <v>7</v>
      </c>
      <c r="G216">
        <v>3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f>($H$216) * (225)</f>
        <v>0</v>
      </c>
      <c r="AG216">
        <f>($I$216) * (80)</f>
        <v>0</v>
      </c>
      <c r="AH216">
        <f>($J$216) * (80)</f>
        <v>0</v>
      </c>
      <c r="AI216">
        <f>($K$216) * (225)</f>
        <v>0</v>
      </c>
      <c r="AJ216">
        <f>($L$216) * (80)</f>
        <v>0</v>
      </c>
      <c r="AK216">
        <f>($M$216) * (80)</f>
        <v>0</v>
      </c>
      <c r="AL216">
        <f>($N$216) * (225)</f>
        <v>0</v>
      </c>
      <c r="AM216">
        <f>($O$216) * (225)</f>
        <v>0</v>
      </c>
      <c r="AN216">
        <f>($P$216) * (80)</f>
        <v>0</v>
      </c>
      <c r="AO216">
        <f>($Q$216) * (80)</f>
        <v>0</v>
      </c>
      <c r="AP216">
        <f>($R$216) * (225)</f>
        <v>0</v>
      </c>
      <c r="AQ216">
        <f>($S$216) * (80)</f>
        <v>0</v>
      </c>
      <c r="AR216">
        <f>($T$216) * (80)</f>
        <v>0</v>
      </c>
      <c r="AS216">
        <f>($U$216) * (295)</f>
        <v>0</v>
      </c>
      <c r="AT216">
        <f>($V$216) * (150)</f>
        <v>0</v>
      </c>
      <c r="AU216">
        <f>($W$216) * (150)</f>
        <v>0</v>
      </c>
      <c r="AV216">
        <f>($X$216) * (365)</f>
        <v>0</v>
      </c>
      <c r="AW216">
        <f>($Y$216) * (220)</f>
        <v>0</v>
      </c>
      <c r="AX216">
        <f>($Z$216) * (435)</f>
        <v>0</v>
      </c>
      <c r="AY216">
        <f>($AA$216) * (290)</f>
        <v>0</v>
      </c>
      <c r="AZ216">
        <f>($AB$216) * (505)</f>
        <v>0</v>
      </c>
      <c r="BA216">
        <f>($AC$216) * (360)</f>
        <v>0</v>
      </c>
      <c r="BB216">
        <f>($AD$216) * (575)</f>
        <v>0</v>
      </c>
      <c r="BC216">
        <f>($AE$216) * (645)</f>
        <v>0</v>
      </c>
      <c r="BO216">
        <v>1</v>
      </c>
      <c r="BP216">
        <f>SUM($O$216:$X$216)</f>
        <v>0</v>
      </c>
    </row>
    <row r="217" spans="1:68" x14ac:dyDescent="0.25">
      <c r="A217">
        <v>183</v>
      </c>
      <c r="B217">
        <v>1</v>
      </c>
      <c r="C217">
        <v>19500</v>
      </c>
      <c r="D217">
        <v>1</v>
      </c>
      <c r="E217">
        <v>4</v>
      </c>
      <c r="F217" t="s">
        <v>7</v>
      </c>
      <c r="G217">
        <v>3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f>($H$217) * (225)</f>
        <v>0</v>
      </c>
      <c r="AG217">
        <f>($I$217) * (40)</f>
        <v>0</v>
      </c>
      <c r="AH217">
        <f>($J$217) * (40)</f>
        <v>0</v>
      </c>
      <c r="AI217">
        <f>($K$217) * (225)</f>
        <v>0</v>
      </c>
      <c r="AJ217">
        <f>($L$217) * (40)</f>
        <v>0</v>
      </c>
      <c r="AK217">
        <f>($M$217) * (40)</f>
        <v>0</v>
      </c>
      <c r="AL217">
        <f>($N$217) * (225)</f>
        <v>0</v>
      </c>
      <c r="AM217">
        <f>($O$217) * (275)</f>
        <v>0</v>
      </c>
      <c r="AN217">
        <f>($P$217) * (90)</f>
        <v>0</v>
      </c>
      <c r="AO217">
        <f>($Q$217) * (90)</f>
        <v>0</v>
      </c>
      <c r="AP217">
        <f>($R$217) * (325)</f>
        <v>0</v>
      </c>
      <c r="AQ217">
        <f>($S$217) * (140)</f>
        <v>0</v>
      </c>
      <c r="AR217">
        <f>($T$217) * (140)</f>
        <v>0</v>
      </c>
      <c r="AS217">
        <f>($U$217) * (375)</f>
        <v>0</v>
      </c>
      <c r="AT217">
        <f>($V$217) * (190)</f>
        <v>0</v>
      </c>
      <c r="AU217">
        <f>($W$217) * (190)</f>
        <v>0</v>
      </c>
      <c r="AV217">
        <f>($X$217) * (425)</f>
        <v>0</v>
      </c>
      <c r="AW217">
        <f>($Y$217) * (240)</f>
        <v>0</v>
      </c>
      <c r="AX217">
        <f>($Z$217) * (475)</f>
        <v>0</v>
      </c>
      <c r="AY217">
        <f>($AA$217) * (290)</f>
        <v>0</v>
      </c>
      <c r="AZ217">
        <f>($AB$217) * (525)</f>
        <v>0</v>
      </c>
      <c r="BA217">
        <f>($AC$217) * (340)</f>
        <v>0</v>
      </c>
      <c r="BB217">
        <f>($AD$217) * (575)</f>
        <v>0</v>
      </c>
      <c r="BC217">
        <f>($AE$217) * (625)</f>
        <v>0</v>
      </c>
      <c r="BO217">
        <v>1</v>
      </c>
      <c r="BP217">
        <f>SUM($K$217:$O$217)</f>
        <v>0</v>
      </c>
    </row>
    <row r="218" spans="1:68" x14ac:dyDescent="0.25">
      <c r="A218">
        <v>191</v>
      </c>
      <c r="B218">
        <v>2</v>
      </c>
      <c r="C218">
        <v>20927</v>
      </c>
      <c r="D218">
        <v>1</v>
      </c>
      <c r="E218">
        <v>5</v>
      </c>
      <c r="F218" t="s">
        <v>7</v>
      </c>
      <c r="G218">
        <v>4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f>($H$218) * (225)</f>
        <v>0</v>
      </c>
      <c r="AG218">
        <f>($I$218) * (80)</f>
        <v>0</v>
      </c>
      <c r="AH218">
        <f>($J$218) * (80)</f>
        <v>0</v>
      </c>
      <c r="AI218">
        <f>($K$218) * (225)</f>
        <v>0</v>
      </c>
      <c r="AJ218">
        <f>($L$218) * (80)</f>
        <v>0</v>
      </c>
      <c r="AK218">
        <f>($M$218) * (80)</f>
        <v>0</v>
      </c>
      <c r="AL218">
        <f>($N$218) * (225)</f>
        <v>0</v>
      </c>
      <c r="AM218">
        <f>($O$218) * (225)</f>
        <v>0</v>
      </c>
      <c r="AN218">
        <f>($P$218) * (80)</f>
        <v>0</v>
      </c>
      <c r="AO218">
        <f>($Q$218) * (80)</f>
        <v>0</v>
      </c>
      <c r="AP218">
        <f>($R$218) * (295)</f>
        <v>0</v>
      </c>
      <c r="AQ218">
        <f>($S$218) * (150)</f>
        <v>0</v>
      </c>
      <c r="AR218">
        <f>($T$218) * (150)</f>
        <v>0</v>
      </c>
      <c r="AS218">
        <f>($U$218) * (365)</f>
        <v>0</v>
      </c>
      <c r="AT218">
        <f>($V$218) * (220)</f>
        <v>0</v>
      </c>
      <c r="AU218">
        <f>($W$218) * (220)</f>
        <v>0</v>
      </c>
      <c r="AV218">
        <f>($X$218) * (435)</f>
        <v>0</v>
      </c>
      <c r="AW218">
        <f>($Y$218) * (290)</f>
        <v>0</v>
      </c>
      <c r="AX218">
        <f>($Z$218) * (505)</f>
        <v>0</v>
      </c>
      <c r="AY218">
        <f>($AA$218) * (360)</f>
        <v>0</v>
      </c>
      <c r="AZ218">
        <f>($AB$218) * (575)</f>
        <v>0</v>
      </c>
      <c r="BA218">
        <f>($AC$218) * (430)</f>
        <v>0</v>
      </c>
      <c r="BB218">
        <f>($AD$218) * (645)</f>
        <v>0</v>
      </c>
      <c r="BC218">
        <f>($AE$218) * (715)</f>
        <v>0</v>
      </c>
      <c r="BO218">
        <v>1</v>
      </c>
      <c r="BP218">
        <f>SUM($K$218:$R$218)</f>
        <v>0</v>
      </c>
    </row>
    <row r="219" spans="1:68" x14ac:dyDescent="0.25">
      <c r="A219">
        <v>192</v>
      </c>
      <c r="B219">
        <v>2</v>
      </c>
      <c r="C219">
        <v>24200</v>
      </c>
      <c r="D219">
        <v>5</v>
      </c>
      <c r="E219">
        <v>9</v>
      </c>
      <c r="F219" t="s">
        <v>7</v>
      </c>
      <c r="G219">
        <v>4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f>($H$219) * (225)</f>
        <v>0</v>
      </c>
      <c r="AG219">
        <f>($I$219) * (80)</f>
        <v>0</v>
      </c>
      <c r="AH219">
        <f>($J$219) * (80)</f>
        <v>0</v>
      </c>
      <c r="AI219">
        <f>($K$219) * (225)</f>
        <v>0</v>
      </c>
      <c r="AJ219">
        <f>($L$219) * (80)</f>
        <v>0</v>
      </c>
      <c r="AK219">
        <f>($M$219) * (80)</f>
        <v>0</v>
      </c>
      <c r="AL219">
        <f>($N$219) * (225)</f>
        <v>0</v>
      </c>
      <c r="AM219">
        <f>($O$219) * (225)</f>
        <v>0</v>
      </c>
      <c r="AN219">
        <f>($P$219) * (80)</f>
        <v>0</v>
      </c>
      <c r="AO219">
        <f>($Q$219) * (80)</f>
        <v>0</v>
      </c>
      <c r="AP219">
        <f>($R$219) * (225)</f>
        <v>0</v>
      </c>
      <c r="AQ219">
        <f>($S$219) * (80)</f>
        <v>0</v>
      </c>
      <c r="AR219">
        <f>($T$219) * (80)</f>
        <v>0</v>
      </c>
      <c r="AS219">
        <f>($U$219) * (225)</f>
        <v>0</v>
      </c>
      <c r="AT219">
        <f>($V$219) * (80)</f>
        <v>0</v>
      </c>
      <c r="AU219">
        <f>($W$219) * (80)</f>
        <v>0</v>
      </c>
      <c r="AV219">
        <f>($X$219) * (225)</f>
        <v>0</v>
      </c>
      <c r="AW219">
        <f>($Y$219) * (80)</f>
        <v>0</v>
      </c>
      <c r="AX219">
        <f>($Z$219) * (225)</f>
        <v>0</v>
      </c>
      <c r="AY219">
        <f>($AA$219) * (80)</f>
        <v>0</v>
      </c>
      <c r="AZ219">
        <f>($AB$219) * (295)</f>
        <v>0</v>
      </c>
      <c r="BA219">
        <f>($AC$219) * (150)</f>
        <v>0</v>
      </c>
      <c r="BB219">
        <f>($AD$219) * (365)</f>
        <v>0</v>
      </c>
      <c r="BC219">
        <f>($AE$219) * (435)</f>
        <v>0</v>
      </c>
      <c r="BO219">
        <v>1</v>
      </c>
      <c r="BP219">
        <f>SUM($U$219:$AB$219)</f>
        <v>0</v>
      </c>
    </row>
    <row r="220" spans="1:68" x14ac:dyDescent="0.25">
      <c r="A220">
        <v>193</v>
      </c>
      <c r="B220">
        <v>1</v>
      </c>
      <c r="C220">
        <v>2300</v>
      </c>
      <c r="D220">
        <v>5</v>
      </c>
      <c r="E220">
        <v>9</v>
      </c>
      <c r="F220" t="s">
        <v>7</v>
      </c>
      <c r="G220">
        <v>3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f>($H$220) * (225)</f>
        <v>0</v>
      </c>
      <c r="AG220">
        <f>($I$220) * (40)</f>
        <v>0</v>
      </c>
      <c r="AH220">
        <f>($J$220) * (40)</f>
        <v>0</v>
      </c>
      <c r="AI220">
        <f>($K$220) * (225)</f>
        <v>0</v>
      </c>
      <c r="AJ220">
        <f>($L$220) * (40)</f>
        <v>0</v>
      </c>
      <c r="AK220">
        <f>($M$220) * (40)</f>
        <v>0</v>
      </c>
      <c r="AL220">
        <f>($N$220) * (225)</f>
        <v>0</v>
      </c>
      <c r="AM220">
        <f>($O$220) * (225)</f>
        <v>0</v>
      </c>
      <c r="AN220">
        <f>($P$220) * (40)</f>
        <v>0</v>
      </c>
      <c r="AO220">
        <f>($Q$220) * (40)</f>
        <v>0</v>
      </c>
      <c r="AP220">
        <f>($R$220) * (225)</f>
        <v>0</v>
      </c>
      <c r="AQ220">
        <f>($S$220) * (40)</f>
        <v>0</v>
      </c>
      <c r="AR220">
        <f>($T$220) * (40)</f>
        <v>0</v>
      </c>
      <c r="AS220">
        <f>($U$220) * (225)</f>
        <v>0</v>
      </c>
      <c r="AT220">
        <f>($V$220) * (40)</f>
        <v>0</v>
      </c>
      <c r="AU220">
        <f>($W$220) * (40)</f>
        <v>0</v>
      </c>
      <c r="AV220">
        <f>($X$220) * (225)</f>
        <v>0</v>
      </c>
      <c r="AW220">
        <f>($Y$220) * (40)</f>
        <v>0</v>
      </c>
      <c r="AX220">
        <f>($Z$220) * (275)</f>
        <v>0</v>
      </c>
      <c r="AY220">
        <f>($AA$220) * (90)</f>
        <v>0</v>
      </c>
      <c r="AZ220">
        <f>($AB$220) * (325)</f>
        <v>0</v>
      </c>
      <c r="BA220">
        <f>($AC$220) * (140)</f>
        <v>0</v>
      </c>
      <c r="BB220">
        <f>($AD$220) * (375)</f>
        <v>0</v>
      </c>
      <c r="BC220">
        <f>($AE$220) * (425)</f>
        <v>0</v>
      </c>
      <c r="BO220">
        <v>1</v>
      </c>
      <c r="BP220">
        <f>SUM($U$220:$AB$220)</f>
        <v>0</v>
      </c>
    </row>
    <row r="221" spans="1:68" x14ac:dyDescent="0.25">
      <c r="A221">
        <v>194</v>
      </c>
      <c r="B221">
        <v>1</v>
      </c>
      <c r="C221">
        <v>24900</v>
      </c>
      <c r="D221">
        <v>3</v>
      </c>
      <c r="E221">
        <v>7</v>
      </c>
      <c r="F221" t="s">
        <v>7</v>
      </c>
      <c r="G221">
        <v>3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f>($H$221) * (225)</f>
        <v>0</v>
      </c>
      <c r="AG221">
        <f>($I$221) * (40)</f>
        <v>0</v>
      </c>
      <c r="AH221">
        <f>($J$221) * (40)</f>
        <v>0</v>
      </c>
      <c r="AI221">
        <f>($K$221) * (225)</f>
        <v>0</v>
      </c>
      <c r="AJ221">
        <f>($L$221) * (40)</f>
        <v>0</v>
      </c>
      <c r="AK221">
        <f>($M$221) * (40)</f>
        <v>0</v>
      </c>
      <c r="AL221">
        <f>($N$221) * (225)</f>
        <v>0</v>
      </c>
      <c r="AM221">
        <f>($O$221) * (225)</f>
        <v>0</v>
      </c>
      <c r="AN221">
        <f>($P$221) * (40)</f>
        <v>0</v>
      </c>
      <c r="AO221">
        <f>($Q$221) * (40)</f>
        <v>0</v>
      </c>
      <c r="AP221">
        <f>($R$221) * (225)</f>
        <v>0</v>
      </c>
      <c r="AQ221">
        <f>($S$221) * (40)</f>
        <v>0</v>
      </c>
      <c r="AR221">
        <f>($T$221) * (40)</f>
        <v>0</v>
      </c>
      <c r="AS221">
        <f>($U$221) * (275)</f>
        <v>0</v>
      </c>
      <c r="AT221">
        <f>($V$221) * (90)</f>
        <v>0</v>
      </c>
      <c r="AU221">
        <f>($W$221) * (90)</f>
        <v>0</v>
      </c>
      <c r="AV221">
        <f>($X$221) * (325)</f>
        <v>0</v>
      </c>
      <c r="AW221">
        <f>($Y$221) * (140)</f>
        <v>0</v>
      </c>
      <c r="AX221">
        <f>($Z$221) * (375)</f>
        <v>0</v>
      </c>
      <c r="AY221">
        <f>($AA$221) * (190)</f>
        <v>0</v>
      </c>
      <c r="AZ221">
        <f>($AB$221) * (425)</f>
        <v>0</v>
      </c>
      <c r="BA221">
        <f>($AC$221) * (240)</f>
        <v>0</v>
      </c>
      <c r="BB221">
        <f>($AD$221) * (475)</f>
        <v>0</v>
      </c>
      <c r="BC221">
        <f>($AE$221) * (525)</f>
        <v>0</v>
      </c>
      <c r="BO221">
        <v>1</v>
      </c>
      <c r="BP221">
        <f>SUM($O$221:$X$221)</f>
        <v>0</v>
      </c>
    </row>
    <row r="222" spans="1:68" x14ac:dyDescent="0.25">
      <c r="A222">
        <v>195</v>
      </c>
      <c r="B222">
        <v>1</v>
      </c>
      <c r="C222">
        <v>24900</v>
      </c>
      <c r="D222">
        <v>-1</v>
      </c>
      <c r="E222">
        <v>2</v>
      </c>
      <c r="F222" t="s">
        <v>7</v>
      </c>
      <c r="G222">
        <v>6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f>($H$222) * (225)</f>
        <v>0</v>
      </c>
      <c r="AG222">
        <f>($I$222) * (40)</f>
        <v>0</v>
      </c>
      <c r="AH222">
        <f>($J$222) * (40)</f>
        <v>0</v>
      </c>
      <c r="AI222">
        <f>($K$222) * (225)</f>
        <v>0</v>
      </c>
      <c r="AJ222">
        <f>($L$222) * (40)</f>
        <v>0</v>
      </c>
      <c r="AK222">
        <f>($M$222) * (40)</f>
        <v>0</v>
      </c>
      <c r="AL222">
        <f>($N$222) * (225)</f>
        <v>0</v>
      </c>
      <c r="AM222">
        <f>($O$222) * (225)</f>
        <v>0</v>
      </c>
      <c r="AN222">
        <f>($P$222) * (40)</f>
        <v>0</v>
      </c>
      <c r="AO222">
        <f>($Q$222) * (40)</f>
        <v>0</v>
      </c>
      <c r="AP222">
        <f>($R$222) * (275)</f>
        <v>0</v>
      </c>
      <c r="AQ222">
        <f>($S$222) * (90)</f>
        <v>0</v>
      </c>
      <c r="AR222">
        <f>($T$222) * (90)</f>
        <v>0</v>
      </c>
      <c r="AS222">
        <f>($U$222) * (325)</f>
        <v>0</v>
      </c>
      <c r="AT222">
        <f>($V$222) * (140)</f>
        <v>0</v>
      </c>
      <c r="AU222">
        <f>($W$222) * (140)</f>
        <v>0</v>
      </c>
      <c r="AV222">
        <f>($X$222) * (375)</f>
        <v>0</v>
      </c>
      <c r="AW222">
        <f>($Y$222) * (190)</f>
        <v>0</v>
      </c>
      <c r="AX222">
        <f>($Z$222) * (425)</f>
        <v>0</v>
      </c>
      <c r="AY222">
        <f>($AA$222) * (240)</f>
        <v>0</v>
      </c>
      <c r="AZ222">
        <f>($AB$222) * (475)</f>
        <v>0</v>
      </c>
      <c r="BA222">
        <f>($AC$222) * (290)</f>
        <v>0</v>
      </c>
      <c r="BB222">
        <f>($AD$222) * (525)</f>
        <v>0</v>
      </c>
      <c r="BC222">
        <f>($AE$222) * (575)</f>
        <v>0</v>
      </c>
      <c r="BO222">
        <v>1</v>
      </c>
      <c r="BP222">
        <f>SUM($H$222:$K$222)</f>
        <v>0</v>
      </c>
    </row>
    <row r="223" spans="1:68" x14ac:dyDescent="0.25">
      <c r="A223">
        <v>196</v>
      </c>
      <c r="B223">
        <v>1</v>
      </c>
      <c r="C223">
        <v>24900</v>
      </c>
      <c r="D223">
        <v>2</v>
      </c>
      <c r="E223">
        <v>6</v>
      </c>
      <c r="F223" t="s">
        <v>7</v>
      </c>
      <c r="G223">
        <v>4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f>($H$223) * (225)</f>
        <v>0</v>
      </c>
      <c r="AG223">
        <f>($I$223) * (40)</f>
        <v>0</v>
      </c>
      <c r="AH223">
        <f>($J$223) * (40)</f>
        <v>0</v>
      </c>
      <c r="AI223">
        <f>($K$223) * (225)</f>
        <v>0</v>
      </c>
      <c r="AJ223">
        <f>($L$223) * (40)</f>
        <v>0</v>
      </c>
      <c r="AK223">
        <f>($M$223) * (40)</f>
        <v>0</v>
      </c>
      <c r="AL223">
        <f>($N$223) * (225)</f>
        <v>0</v>
      </c>
      <c r="AM223">
        <f>($O$223) * (225)</f>
        <v>0</v>
      </c>
      <c r="AN223">
        <f>($P$223) * (40)</f>
        <v>0</v>
      </c>
      <c r="AO223">
        <f>($Q$223) * (40)</f>
        <v>0</v>
      </c>
      <c r="AP223">
        <f>($R$223) * (225)</f>
        <v>0</v>
      </c>
      <c r="AQ223">
        <f>($S$223) * (40)</f>
        <v>0</v>
      </c>
      <c r="AR223">
        <f>($T$223) * (40)</f>
        <v>0</v>
      </c>
      <c r="AS223">
        <f>($U$223) * (275)</f>
        <v>0</v>
      </c>
      <c r="AT223">
        <f>($V$223) * (90)</f>
        <v>0</v>
      </c>
      <c r="AU223">
        <f>($W$223) * (90)</f>
        <v>0</v>
      </c>
      <c r="AV223">
        <f>($X$223) * (325)</f>
        <v>0</v>
      </c>
      <c r="AW223">
        <f>($Y$223) * (140)</f>
        <v>0</v>
      </c>
      <c r="AX223">
        <f>($Z$223) * (375)</f>
        <v>0</v>
      </c>
      <c r="AY223">
        <f>($AA$223) * (190)</f>
        <v>0</v>
      </c>
      <c r="AZ223">
        <f>($AB$223) * (425)</f>
        <v>0</v>
      </c>
      <c r="BA223">
        <f>($AC$223) * (240)</f>
        <v>0</v>
      </c>
      <c r="BB223">
        <f>($AD$223) * (475)</f>
        <v>0</v>
      </c>
      <c r="BC223">
        <f>($AE$223) * (525)</f>
        <v>0</v>
      </c>
      <c r="BO223">
        <v>1</v>
      </c>
      <c r="BP223">
        <f>SUM($N$223:$U$223)</f>
        <v>0</v>
      </c>
    </row>
    <row r="224" spans="1:68" x14ac:dyDescent="0.25">
      <c r="A224">
        <v>198</v>
      </c>
      <c r="B224">
        <v>1</v>
      </c>
      <c r="C224">
        <v>24900</v>
      </c>
      <c r="D224">
        <v>3</v>
      </c>
      <c r="E224">
        <v>8</v>
      </c>
      <c r="F224" t="s">
        <v>7</v>
      </c>
      <c r="G224">
        <v>4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f>($H$224) * (225)</f>
        <v>0</v>
      </c>
      <c r="AG224">
        <f>($I$224) * (40)</f>
        <v>0</v>
      </c>
      <c r="AH224">
        <f>($J$224) * (40)</f>
        <v>0</v>
      </c>
      <c r="AI224">
        <f>($K$224) * (225)</f>
        <v>0</v>
      </c>
      <c r="AJ224">
        <f>($L$224) * (40)</f>
        <v>0</v>
      </c>
      <c r="AK224">
        <f>($M$224) * (40)</f>
        <v>0</v>
      </c>
      <c r="AL224">
        <f>($N$224) * (225)</f>
        <v>0</v>
      </c>
      <c r="AM224">
        <f>($O$224) * (225)</f>
        <v>0</v>
      </c>
      <c r="AN224">
        <f>($P$224) * (40)</f>
        <v>0</v>
      </c>
      <c r="AO224">
        <f>($Q$224) * (40)</f>
        <v>0</v>
      </c>
      <c r="AP224">
        <f>($R$224) * (225)</f>
        <v>0</v>
      </c>
      <c r="AQ224">
        <f>($S$224) * (40)</f>
        <v>0</v>
      </c>
      <c r="AR224">
        <f>($T$224) * (40)</f>
        <v>0</v>
      </c>
      <c r="AS224">
        <f>($U$224) * (225)</f>
        <v>0</v>
      </c>
      <c r="AT224">
        <f>($V$224) * (40)</f>
        <v>0</v>
      </c>
      <c r="AU224">
        <f>($W$224) * (40)</f>
        <v>0</v>
      </c>
      <c r="AV224">
        <f>($X$224) * (275)</f>
        <v>0</v>
      </c>
      <c r="AW224">
        <f>($Y$224) * (90)</f>
        <v>0</v>
      </c>
      <c r="AX224">
        <f>($Z$224) * (325)</f>
        <v>0</v>
      </c>
      <c r="AY224">
        <f>($AA$224) * (140)</f>
        <v>0</v>
      </c>
      <c r="AZ224">
        <f>($AB$224) * (375)</f>
        <v>0</v>
      </c>
      <c r="BA224">
        <f>($AC$224) * (190)</f>
        <v>0</v>
      </c>
      <c r="BB224">
        <f>($AD$224) * (425)</f>
        <v>0</v>
      </c>
      <c r="BC224">
        <f>($AE$224) * (475)</f>
        <v>0</v>
      </c>
      <c r="BO224">
        <v>1</v>
      </c>
      <c r="BP224">
        <f>SUM($O$224:$Z$224)</f>
        <v>0</v>
      </c>
    </row>
    <row r="225" spans="1:68" x14ac:dyDescent="0.25">
      <c r="A225">
        <v>199</v>
      </c>
      <c r="B225">
        <v>1</v>
      </c>
      <c r="C225">
        <v>24900</v>
      </c>
      <c r="D225">
        <v>3</v>
      </c>
      <c r="E225">
        <v>7</v>
      </c>
      <c r="F225" t="s">
        <v>7</v>
      </c>
      <c r="G225">
        <v>4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f>($H$225) * (225)</f>
        <v>0</v>
      </c>
      <c r="AG225">
        <f>($I$225) * (40)</f>
        <v>0</v>
      </c>
      <c r="AH225">
        <f>($J$225) * (40)</f>
        <v>0</v>
      </c>
      <c r="AI225">
        <f>($K$225) * (225)</f>
        <v>0</v>
      </c>
      <c r="AJ225">
        <f>($L$225) * (40)</f>
        <v>0</v>
      </c>
      <c r="AK225">
        <f>($M$225) * (40)</f>
        <v>0</v>
      </c>
      <c r="AL225">
        <f>($N$225) * (225)</f>
        <v>0</v>
      </c>
      <c r="AM225">
        <f>($O$225) * (225)</f>
        <v>0</v>
      </c>
      <c r="AN225">
        <f>($P$225) * (40)</f>
        <v>0</v>
      </c>
      <c r="AO225">
        <f>($Q$225) * (40)</f>
        <v>0</v>
      </c>
      <c r="AP225">
        <f>($R$225) * (225)</f>
        <v>0</v>
      </c>
      <c r="AQ225">
        <f>($S$225) * (40)</f>
        <v>0</v>
      </c>
      <c r="AR225">
        <f>($T$225) * (40)</f>
        <v>0</v>
      </c>
      <c r="AS225">
        <f>($U$225) * (225)</f>
        <v>0</v>
      </c>
      <c r="AT225">
        <f>($V$225) * (40)</f>
        <v>0</v>
      </c>
      <c r="AU225">
        <f>($W$225) * (40)</f>
        <v>0</v>
      </c>
      <c r="AV225">
        <f>($X$225) * (275)</f>
        <v>0</v>
      </c>
      <c r="AW225">
        <f>($Y$225) * (90)</f>
        <v>0</v>
      </c>
      <c r="AX225">
        <f>($Z$225) * (325)</f>
        <v>0</v>
      </c>
      <c r="AY225">
        <f>($AA$225) * (140)</f>
        <v>0</v>
      </c>
      <c r="AZ225">
        <f>($AB$225) * (375)</f>
        <v>0</v>
      </c>
      <c r="BA225">
        <f>($AC$225) * (190)</f>
        <v>0</v>
      </c>
      <c r="BB225">
        <f>($AD$225) * (425)</f>
        <v>0</v>
      </c>
      <c r="BC225">
        <f>($AE$225) * (475)</f>
        <v>0</v>
      </c>
      <c r="BO225">
        <v>1</v>
      </c>
      <c r="BP225">
        <f>SUM($O$225:$X$225)</f>
        <v>0</v>
      </c>
    </row>
    <row r="226" spans="1:68" x14ac:dyDescent="0.25">
      <c r="A226">
        <v>201</v>
      </c>
      <c r="B226">
        <v>1</v>
      </c>
      <c r="C226">
        <v>24900</v>
      </c>
      <c r="D226">
        <v>2</v>
      </c>
      <c r="E226">
        <v>6</v>
      </c>
      <c r="F226" t="s">
        <v>7</v>
      </c>
      <c r="G226">
        <v>6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f>($H$226) * (225)</f>
        <v>0</v>
      </c>
      <c r="AG226">
        <f>($I$226) * (40)</f>
        <v>0</v>
      </c>
      <c r="AH226">
        <f>($J$226) * (40)</f>
        <v>0</v>
      </c>
      <c r="AI226">
        <f>($K$226) * (225)</f>
        <v>0</v>
      </c>
      <c r="AJ226">
        <f>($L$226) * (40)</f>
        <v>0</v>
      </c>
      <c r="AK226">
        <f>($M$226) * (40)</f>
        <v>0</v>
      </c>
      <c r="AL226">
        <f>($N$226) * (225)</f>
        <v>0</v>
      </c>
      <c r="AM226">
        <f>($O$226) * (225)</f>
        <v>0</v>
      </c>
      <c r="AN226">
        <f>($P$226) * (40)</f>
        <v>0</v>
      </c>
      <c r="AO226">
        <f>($Q$226) * (40)</f>
        <v>0</v>
      </c>
      <c r="AP226">
        <f>($R$226) * (225)</f>
        <v>0</v>
      </c>
      <c r="AQ226">
        <f>($S$226) * (40)</f>
        <v>0</v>
      </c>
      <c r="AR226">
        <f>($T$226) * (40)</f>
        <v>0</v>
      </c>
      <c r="AS226">
        <f>($U$226) * (225)</f>
        <v>0</v>
      </c>
      <c r="AT226">
        <f>($V$226) * (40)</f>
        <v>0</v>
      </c>
      <c r="AU226">
        <f>($W$226) * (40)</f>
        <v>0</v>
      </c>
      <c r="AV226">
        <f>($X$226) * (225)</f>
        <v>0</v>
      </c>
      <c r="AW226">
        <f>($Y$226) * (40)</f>
        <v>0</v>
      </c>
      <c r="AX226">
        <f>($Z$226) * (275)</f>
        <v>0</v>
      </c>
      <c r="AY226">
        <f>($AA$226) * (90)</f>
        <v>0</v>
      </c>
      <c r="AZ226">
        <f>($AB$226) * (325)</f>
        <v>0</v>
      </c>
      <c r="BA226">
        <f>($AC$226) * (140)</f>
        <v>0</v>
      </c>
      <c r="BB226">
        <f>($AD$226) * (375)</f>
        <v>0</v>
      </c>
      <c r="BC226">
        <f>($AE$226) * (425)</f>
        <v>0</v>
      </c>
      <c r="BO226">
        <v>1</v>
      </c>
      <c r="BP226">
        <f>SUM($N$226:$U$226)</f>
        <v>0</v>
      </c>
    </row>
    <row r="227" spans="1:68" x14ac:dyDescent="0.25">
      <c r="A227">
        <v>203</v>
      </c>
      <c r="B227">
        <v>1</v>
      </c>
      <c r="C227">
        <v>2300</v>
      </c>
      <c r="D227">
        <v>2</v>
      </c>
      <c r="E227">
        <v>5</v>
      </c>
      <c r="F227" t="s">
        <v>7</v>
      </c>
      <c r="G227">
        <v>4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f>($H$227) * (225)</f>
        <v>0</v>
      </c>
      <c r="AG227">
        <f>($I$227) * (40)</f>
        <v>0</v>
      </c>
      <c r="AH227">
        <f>($J$227) * (40)</f>
        <v>0</v>
      </c>
      <c r="AI227">
        <f>($K$227) * (225)</f>
        <v>0</v>
      </c>
      <c r="AJ227">
        <f>($L$227) * (40)</f>
        <v>0</v>
      </c>
      <c r="AK227">
        <f>($M$227) * (40)</f>
        <v>0</v>
      </c>
      <c r="AL227">
        <f>($N$227) * (225)</f>
        <v>0</v>
      </c>
      <c r="AM227">
        <f>($O$227) * (225)</f>
        <v>0</v>
      </c>
      <c r="AN227">
        <f>($P$227) * (40)</f>
        <v>0</v>
      </c>
      <c r="AO227">
        <f>($Q$227) * (40)</f>
        <v>0</v>
      </c>
      <c r="AP227">
        <f>($R$227) * (225)</f>
        <v>0</v>
      </c>
      <c r="AQ227">
        <f>($S$227) * (40)</f>
        <v>0</v>
      </c>
      <c r="AR227">
        <f>($T$227) * (40)</f>
        <v>0</v>
      </c>
      <c r="AS227">
        <f>($U$227) * (275)</f>
        <v>0</v>
      </c>
      <c r="AT227">
        <f>($V$227) * (90)</f>
        <v>0</v>
      </c>
      <c r="AU227">
        <f>($W$227) * (90)</f>
        <v>0</v>
      </c>
      <c r="AV227">
        <f>($X$227) * (325)</f>
        <v>0</v>
      </c>
      <c r="AW227">
        <f>($Y$227) * (140)</f>
        <v>0</v>
      </c>
      <c r="AX227">
        <f>($Z$227) * (375)</f>
        <v>0</v>
      </c>
      <c r="AY227">
        <f>($AA$227) * (190)</f>
        <v>0</v>
      </c>
      <c r="AZ227">
        <f>($AB$227) * (425)</f>
        <v>0</v>
      </c>
      <c r="BA227">
        <f>($AC$227) * (240)</f>
        <v>0</v>
      </c>
      <c r="BB227">
        <f>($AD$227) * (475)</f>
        <v>0</v>
      </c>
      <c r="BC227">
        <f>($AE$227) * (525)</f>
        <v>0</v>
      </c>
      <c r="BO227">
        <v>1</v>
      </c>
      <c r="BP227">
        <f>SUM($N$227:$R$227)</f>
        <v>0</v>
      </c>
    </row>
    <row r="228" spans="1:68" x14ac:dyDescent="0.25">
      <c r="A228">
        <v>204</v>
      </c>
      <c r="B228">
        <v>1</v>
      </c>
      <c r="C228">
        <v>2300</v>
      </c>
      <c r="D228">
        <v>4</v>
      </c>
      <c r="E228">
        <v>7</v>
      </c>
      <c r="F228" t="s">
        <v>7</v>
      </c>
      <c r="G228">
        <v>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f>($H$228) * (225)</f>
        <v>0</v>
      </c>
      <c r="AG228">
        <f>($I$228) * (40)</f>
        <v>0</v>
      </c>
      <c r="AH228">
        <f>($J$228) * (40)</f>
        <v>0</v>
      </c>
      <c r="AI228">
        <f>($K$228) * (225)</f>
        <v>0</v>
      </c>
      <c r="AJ228">
        <f>($L$228) * (40)</f>
        <v>0</v>
      </c>
      <c r="AK228">
        <f>($M$228) * (40)</f>
        <v>0</v>
      </c>
      <c r="AL228">
        <f>($N$228) * (225)</f>
        <v>0</v>
      </c>
      <c r="AM228">
        <f>($O$228) * (225)</f>
        <v>0</v>
      </c>
      <c r="AN228">
        <f>($P$228) * (40)</f>
        <v>0</v>
      </c>
      <c r="AO228">
        <f>($Q$228) * (40)</f>
        <v>0</v>
      </c>
      <c r="AP228">
        <f>($R$228) * (225)</f>
        <v>0</v>
      </c>
      <c r="AQ228">
        <f>($S$228) * (40)</f>
        <v>0</v>
      </c>
      <c r="AR228">
        <f>($T$228) * (40)</f>
        <v>0</v>
      </c>
      <c r="AS228">
        <f>($U$228) * (225)</f>
        <v>0</v>
      </c>
      <c r="AT228">
        <f>($V$228) * (40)</f>
        <v>0</v>
      </c>
      <c r="AU228">
        <f>($W$228) * (40)</f>
        <v>0</v>
      </c>
      <c r="AV228">
        <f>($X$228) * (225)</f>
        <v>0</v>
      </c>
      <c r="AW228">
        <f>($Y$228) * (40)</f>
        <v>0</v>
      </c>
      <c r="AX228">
        <f>($Z$228) * (275)</f>
        <v>0</v>
      </c>
      <c r="AY228">
        <f>($AA$228) * (90)</f>
        <v>0</v>
      </c>
      <c r="AZ228">
        <f>($AB$228) * (325)</f>
        <v>0</v>
      </c>
      <c r="BA228">
        <f>($AC$228) * (140)</f>
        <v>0</v>
      </c>
      <c r="BB228">
        <f>($AD$228) * (375)</f>
        <v>0</v>
      </c>
      <c r="BC228">
        <f>($AE$228) * (425)</f>
        <v>0</v>
      </c>
      <c r="BO228">
        <v>1</v>
      </c>
      <c r="BP228">
        <f>SUM($R$228:$X$228)</f>
        <v>0</v>
      </c>
    </row>
    <row r="229" spans="1:68" x14ac:dyDescent="0.25">
      <c r="A229">
        <v>206</v>
      </c>
      <c r="B229">
        <v>2</v>
      </c>
      <c r="C229">
        <v>19200</v>
      </c>
      <c r="D229">
        <v>6</v>
      </c>
      <c r="E229">
        <v>10</v>
      </c>
      <c r="F229" t="s">
        <v>7</v>
      </c>
      <c r="G229">
        <v>3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f>($H$229) * (225)</f>
        <v>0</v>
      </c>
      <c r="AG229">
        <f>($I$229) * (80)</f>
        <v>0</v>
      </c>
      <c r="AH229">
        <f>($J$229) * (80)</f>
        <v>0</v>
      </c>
      <c r="AI229">
        <f>($K$229) * (225)</f>
        <v>0</v>
      </c>
      <c r="AJ229">
        <f>($L$229) * (80)</f>
        <v>0</v>
      </c>
      <c r="AK229">
        <f>($M$229) * (80)</f>
        <v>0</v>
      </c>
      <c r="AL229">
        <f>($N$229) * (225)</f>
        <v>0</v>
      </c>
      <c r="AM229">
        <f>($O$229) * (225)</f>
        <v>0</v>
      </c>
      <c r="AN229">
        <f>($P$229) * (80)</f>
        <v>0</v>
      </c>
      <c r="AO229">
        <f>($Q$229) * (80)</f>
        <v>0</v>
      </c>
      <c r="AP229">
        <f>($R$229) * (225)</f>
        <v>0</v>
      </c>
      <c r="AQ229">
        <f>($S$229) * (80)</f>
        <v>0</v>
      </c>
      <c r="AR229">
        <f>($T$229) * (80)</f>
        <v>0</v>
      </c>
      <c r="AS229">
        <f>($U$229) * (225)</f>
        <v>0</v>
      </c>
      <c r="AT229">
        <f>($V$229) * (80)</f>
        <v>0</v>
      </c>
      <c r="AU229">
        <f>($W$229) * (80)</f>
        <v>0</v>
      </c>
      <c r="AV229">
        <f>($X$229) * (225)</f>
        <v>0</v>
      </c>
      <c r="AW229">
        <f>($Y$229) * (80)</f>
        <v>0</v>
      </c>
      <c r="AX229">
        <f>($Z$229) * (225)</f>
        <v>0</v>
      </c>
      <c r="AY229">
        <f>($AA$229) * (80)</f>
        <v>0</v>
      </c>
      <c r="AZ229">
        <f>($AB$229) * (295)</f>
        <v>0</v>
      </c>
      <c r="BA229">
        <f>($AC$229) * (150)</f>
        <v>0</v>
      </c>
      <c r="BB229">
        <f>($AD$229) * (365)</f>
        <v>0</v>
      </c>
      <c r="BC229">
        <f>($AE$229) * (435)</f>
        <v>0</v>
      </c>
      <c r="BO229">
        <v>1</v>
      </c>
      <c r="BP229">
        <f>SUM($X$229:$AD$229)</f>
        <v>0</v>
      </c>
    </row>
    <row r="230" spans="1:68" x14ac:dyDescent="0.25">
      <c r="A230">
        <v>207</v>
      </c>
      <c r="B230">
        <v>2</v>
      </c>
      <c r="C230">
        <v>4200</v>
      </c>
      <c r="D230">
        <v>6</v>
      </c>
      <c r="E230">
        <v>10</v>
      </c>
      <c r="F230" t="s">
        <v>7</v>
      </c>
      <c r="G230">
        <v>3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f>($H$230) * (225)</f>
        <v>0</v>
      </c>
      <c r="AG230">
        <f>($I$230) * (80)</f>
        <v>0</v>
      </c>
      <c r="AH230">
        <f>($J$230) * (80)</f>
        <v>0</v>
      </c>
      <c r="AI230">
        <f>($K$230) * (225)</f>
        <v>0</v>
      </c>
      <c r="AJ230">
        <f>($L$230) * (80)</f>
        <v>0</v>
      </c>
      <c r="AK230">
        <f>($M$230) * (80)</f>
        <v>0</v>
      </c>
      <c r="AL230">
        <f>($N$230) * (225)</f>
        <v>0</v>
      </c>
      <c r="AM230">
        <f>($O$230) * (225)</f>
        <v>0</v>
      </c>
      <c r="AN230">
        <f>($P$230) * (80)</f>
        <v>0</v>
      </c>
      <c r="AO230">
        <f>($Q$230) * (80)</f>
        <v>0</v>
      </c>
      <c r="AP230">
        <f>($R$230) * (225)</f>
        <v>0</v>
      </c>
      <c r="AQ230">
        <f>($S$230) * (80)</f>
        <v>0</v>
      </c>
      <c r="AR230">
        <f>($T$230) * (80)</f>
        <v>0</v>
      </c>
      <c r="AS230">
        <f>($U$230) * (225)</f>
        <v>0</v>
      </c>
      <c r="AT230">
        <f>($V$230) * (80)</f>
        <v>0</v>
      </c>
      <c r="AU230">
        <f>($W$230) * (80)</f>
        <v>0</v>
      </c>
      <c r="AV230">
        <f>($X$230) * (225)</f>
        <v>0</v>
      </c>
      <c r="AW230">
        <f>($Y$230) * (80)</f>
        <v>0</v>
      </c>
      <c r="AX230">
        <f>($Z$230) * (225)</f>
        <v>0</v>
      </c>
      <c r="AY230">
        <f>($AA$230) * (80)</f>
        <v>0</v>
      </c>
      <c r="AZ230">
        <f>($AB$230) * (295)</f>
        <v>0</v>
      </c>
      <c r="BA230">
        <f>($AC$230) * (150)</f>
        <v>0</v>
      </c>
      <c r="BB230">
        <f>($AD$230) * (365)</f>
        <v>0</v>
      </c>
      <c r="BC230">
        <f>($AE$230) * (435)</f>
        <v>0</v>
      </c>
      <c r="BO230">
        <v>1</v>
      </c>
      <c r="BP230">
        <f>SUM($X$230:$AD$230)</f>
        <v>0</v>
      </c>
    </row>
    <row r="231" spans="1:68" x14ac:dyDescent="0.25">
      <c r="A231">
        <v>208</v>
      </c>
      <c r="B231">
        <v>1</v>
      </c>
      <c r="C231">
        <v>2000</v>
      </c>
      <c r="D231">
        <v>1</v>
      </c>
      <c r="E231">
        <v>5</v>
      </c>
      <c r="F231" t="s">
        <v>7</v>
      </c>
      <c r="G231">
        <v>3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f>($H$231) * (225)</f>
        <v>0</v>
      </c>
      <c r="AG231">
        <f>($I$231) * (40)</f>
        <v>0</v>
      </c>
      <c r="AH231">
        <f>($J$231) * (40)</f>
        <v>0</v>
      </c>
      <c r="AI231">
        <f>($K$231) * (225)</f>
        <v>0</v>
      </c>
      <c r="AJ231">
        <f>($L$231) * (40)</f>
        <v>0</v>
      </c>
      <c r="AK231">
        <f>($M$231) * (40)</f>
        <v>0</v>
      </c>
      <c r="AL231">
        <f>($N$231) * (225)</f>
        <v>0</v>
      </c>
      <c r="AM231">
        <f>($O$231) * (275)</f>
        <v>0</v>
      </c>
      <c r="AN231">
        <f>($P$231) * (90)</f>
        <v>0</v>
      </c>
      <c r="AO231">
        <f>($Q$231) * (90)</f>
        <v>0</v>
      </c>
      <c r="AP231">
        <f>($R$231) * (325)</f>
        <v>0</v>
      </c>
      <c r="AQ231">
        <f>($S$231) * (140)</f>
        <v>0</v>
      </c>
      <c r="AR231">
        <f>($T$231) * (140)</f>
        <v>0</v>
      </c>
      <c r="AS231">
        <f>($U$231) * (375)</f>
        <v>0</v>
      </c>
      <c r="AT231">
        <f>($V$231) * (190)</f>
        <v>0</v>
      </c>
      <c r="AU231">
        <f>($W$231) * (190)</f>
        <v>0</v>
      </c>
      <c r="AV231">
        <f>($X$231) * (425)</f>
        <v>0</v>
      </c>
      <c r="AW231">
        <f>($Y$231) * (240)</f>
        <v>0</v>
      </c>
      <c r="AX231">
        <f>($Z$231) * (475)</f>
        <v>0</v>
      </c>
      <c r="AY231">
        <f>($AA$231) * (290)</f>
        <v>0</v>
      </c>
      <c r="AZ231">
        <f>($AB$231) * (525)</f>
        <v>0</v>
      </c>
      <c r="BA231">
        <f>($AC$231) * (340)</f>
        <v>0</v>
      </c>
      <c r="BB231">
        <f>($AD$231) * (575)</f>
        <v>0</v>
      </c>
      <c r="BC231">
        <f>($AE$231) * (625)</f>
        <v>0</v>
      </c>
      <c r="BO231">
        <v>1</v>
      </c>
      <c r="BP231">
        <f>SUM($K$231:$R$231)</f>
        <v>0</v>
      </c>
    </row>
    <row r="232" spans="1:68" x14ac:dyDescent="0.25">
      <c r="A232">
        <v>209</v>
      </c>
      <c r="B232">
        <v>2</v>
      </c>
      <c r="C232">
        <v>11627</v>
      </c>
      <c r="D232">
        <v>4</v>
      </c>
      <c r="E232">
        <v>9</v>
      </c>
      <c r="F232" t="s">
        <v>7</v>
      </c>
      <c r="G232">
        <v>3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f>($H$232) * (225)</f>
        <v>0</v>
      </c>
      <c r="AG232">
        <f>($I$232) * (80)</f>
        <v>0</v>
      </c>
      <c r="AH232">
        <f>($J$232) * (80)</f>
        <v>0</v>
      </c>
      <c r="AI232">
        <f>($K$232) * (225)</f>
        <v>0</v>
      </c>
      <c r="AJ232">
        <f>($L$232) * (80)</f>
        <v>0</v>
      </c>
      <c r="AK232">
        <f>($M$232) * (80)</f>
        <v>0</v>
      </c>
      <c r="AL232">
        <f>($N$232) * (225)</f>
        <v>0</v>
      </c>
      <c r="AM232">
        <f>($O$232) * (225)</f>
        <v>0</v>
      </c>
      <c r="AN232">
        <f>($P$232) * (80)</f>
        <v>0</v>
      </c>
      <c r="AO232">
        <f>($Q$232) * (80)</f>
        <v>0</v>
      </c>
      <c r="AP232">
        <f>($R$232) * (225)</f>
        <v>0</v>
      </c>
      <c r="AQ232">
        <f>($S$232) * (80)</f>
        <v>0</v>
      </c>
      <c r="AR232">
        <f>($T$232) * (80)</f>
        <v>0</v>
      </c>
      <c r="AS232">
        <f>($U$232) * (225)</f>
        <v>0</v>
      </c>
      <c r="AT232">
        <f>($V$232) * (80)</f>
        <v>0</v>
      </c>
      <c r="AU232">
        <f>($W$232) * (80)</f>
        <v>0</v>
      </c>
      <c r="AV232">
        <f>($X$232) * (295)</f>
        <v>0</v>
      </c>
      <c r="AW232">
        <f>($Y$232) * (150)</f>
        <v>0</v>
      </c>
      <c r="AX232">
        <f>($Z$232) * (365)</f>
        <v>0</v>
      </c>
      <c r="AY232">
        <f>($AA$232) * (220)</f>
        <v>0</v>
      </c>
      <c r="AZ232">
        <f>($AB$232) * (435)</f>
        <v>0</v>
      </c>
      <c r="BA232">
        <f>($AC$232) * (290)</f>
        <v>0</v>
      </c>
      <c r="BB232">
        <f>($AD$232) * (505)</f>
        <v>0</v>
      </c>
      <c r="BC232">
        <f>($AE$232) * (575)</f>
        <v>0</v>
      </c>
      <c r="BO232">
        <v>1</v>
      </c>
      <c r="BP232">
        <f>SUM($R$232:$AB$232)</f>
        <v>0</v>
      </c>
    </row>
    <row r="233" spans="1:68" x14ac:dyDescent="0.25">
      <c r="A233">
        <v>210</v>
      </c>
      <c r="B233">
        <v>2</v>
      </c>
      <c r="C233">
        <v>19200</v>
      </c>
      <c r="D233">
        <v>-1</v>
      </c>
      <c r="E233">
        <v>2</v>
      </c>
      <c r="F233" t="s">
        <v>7</v>
      </c>
      <c r="G233">
        <v>4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f>($H$233) * (225)</f>
        <v>0</v>
      </c>
      <c r="AG233">
        <f>($I$233) * (80)</f>
        <v>0</v>
      </c>
      <c r="AH233">
        <f>($J$233) * (80)</f>
        <v>0</v>
      </c>
      <c r="AI233">
        <f>($K$233) * (225)</f>
        <v>0</v>
      </c>
      <c r="AJ233">
        <f>($L$233) * (80)</f>
        <v>0</v>
      </c>
      <c r="AK233">
        <f>($M$233) * (80)</f>
        <v>0</v>
      </c>
      <c r="AL233">
        <f>($N$233) * (295)</f>
        <v>0</v>
      </c>
      <c r="AM233">
        <f>($O$233) * (365)</f>
        <v>0</v>
      </c>
      <c r="AN233">
        <f>($P$233) * (220)</f>
        <v>0</v>
      </c>
      <c r="AO233">
        <f>($Q$233) * (220)</f>
        <v>0</v>
      </c>
      <c r="AP233">
        <f>($R$233) * (435)</f>
        <v>0</v>
      </c>
      <c r="AQ233">
        <f>($S$233) * (290)</f>
        <v>0</v>
      </c>
      <c r="AR233">
        <f>($T$233) * (290)</f>
        <v>0</v>
      </c>
      <c r="AS233">
        <f>($U$233) * (505)</f>
        <v>0</v>
      </c>
      <c r="AT233">
        <f>($V$233) * (360)</f>
        <v>0</v>
      </c>
      <c r="AU233">
        <f>($W$233) * (360)</f>
        <v>0</v>
      </c>
      <c r="AV233">
        <f>($X$233) * (575)</f>
        <v>0</v>
      </c>
      <c r="AW233">
        <f>($Y$233) * (430)</f>
        <v>0</v>
      </c>
      <c r="AX233">
        <f>($Z$233) * (645)</f>
        <v>0</v>
      </c>
      <c r="AY233">
        <f>($AA$233) * (500)</f>
        <v>0</v>
      </c>
      <c r="AZ233">
        <f>($AB$233) * (715)</f>
        <v>0</v>
      </c>
      <c r="BA233">
        <f>($AC$233) * (570)</f>
        <v>0</v>
      </c>
      <c r="BB233">
        <f>($AD$233) * (785)</f>
        <v>0</v>
      </c>
      <c r="BC233">
        <f>($AE$233) * (855)</f>
        <v>0</v>
      </c>
      <c r="BO233">
        <v>1</v>
      </c>
      <c r="BP233">
        <f>SUM($H$233:$K$233)</f>
        <v>0</v>
      </c>
    </row>
    <row r="234" spans="1:68" x14ac:dyDescent="0.25">
      <c r="A234">
        <v>215</v>
      </c>
      <c r="B234">
        <v>1</v>
      </c>
      <c r="C234">
        <v>23440</v>
      </c>
      <c r="D234">
        <v>3</v>
      </c>
      <c r="E234">
        <v>6</v>
      </c>
      <c r="F234" t="s">
        <v>7</v>
      </c>
      <c r="G234">
        <v>5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f>($H$234) * (225)</f>
        <v>0</v>
      </c>
      <c r="AG234">
        <f>($I$234) * (40)</f>
        <v>0</v>
      </c>
      <c r="AH234">
        <f>($J$234) * (40)</f>
        <v>0</v>
      </c>
      <c r="AI234">
        <f>($K$234) * (225)</f>
        <v>0</v>
      </c>
      <c r="AJ234">
        <f>($L$234) * (40)</f>
        <v>0</v>
      </c>
      <c r="AK234">
        <f>($M$234) * (40)</f>
        <v>0</v>
      </c>
      <c r="AL234">
        <f>($N$234) * (225)</f>
        <v>0</v>
      </c>
      <c r="AM234">
        <f>($O$234) * (225)</f>
        <v>0</v>
      </c>
      <c r="AN234">
        <f>($P$234) * (40)</f>
        <v>0</v>
      </c>
      <c r="AO234">
        <f>($Q$234) * (40)</f>
        <v>0</v>
      </c>
      <c r="AP234">
        <f>($R$234) * (225)</f>
        <v>0</v>
      </c>
      <c r="AQ234">
        <f>($S$234) * (40)</f>
        <v>0</v>
      </c>
      <c r="AR234">
        <f>($T$234) * (40)</f>
        <v>0</v>
      </c>
      <c r="AS234">
        <f>($U$234) * (225)</f>
        <v>0</v>
      </c>
      <c r="AT234">
        <f>($V$234) * (40)</f>
        <v>0</v>
      </c>
      <c r="AU234">
        <f>($W$234) * (40)</f>
        <v>0</v>
      </c>
      <c r="AV234">
        <f>($X$234) * (225)</f>
        <v>0</v>
      </c>
      <c r="AW234">
        <f>($Y$234) * (40)</f>
        <v>0</v>
      </c>
      <c r="AX234">
        <f>($Z$234) * (275)</f>
        <v>0</v>
      </c>
      <c r="AY234">
        <f>($AA$234) * (90)</f>
        <v>0</v>
      </c>
      <c r="AZ234">
        <f>($AB$234) * (325)</f>
        <v>0</v>
      </c>
      <c r="BA234">
        <f>($AC$234) * (140)</f>
        <v>0</v>
      </c>
      <c r="BB234">
        <f>($AD$234) * (375)</f>
        <v>0</v>
      </c>
      <c r="BC234">
        <f>($AE$234) * (425)</f>
        <v>0</v>
      </c>
      <c r="BO234">
        <v>1</v>
      </c>
      <c r="BP234">
        <f>SUM($O$234:$U$234)</f>
        <v>0</v>
      </c>
    </row>
    <row r="235" spans="1:68" x14ac:dyDescent="0.25">
      <c r="A235">
        <v>216</v>
      </c>
      <c r="B235">
        <v>1</v>
      </c>
      <c r="C235">
        <v>23440</v>
      </c>
      <c r="D235">
        <v>3</v>
      </c>
      <c r="E235">
        <v>6</v>
      </c>
      <c r="F235" t="s">
        <v>7</v>
      </c>
      <c r="G235">
        <v>4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f>($H$235) * (225)</f>
        <v>0</v>
      </c>
      <c r="AG235">
        <f>($I$235) * (40)</f>
        <v>0</v>
      </c>
      <c r="AH235">
        <f>($J$235) * (40)</f>
        <v>0</v>
      </c>
      <c r="AI235">
        <f>($K$235) * (225)</f>
        <v>0</v>
      </c>
      <c r="AJ235">
        <f>($L$235) * (40)</f>
        <v>0</v>
      </c>
      <c r="AK235">
        <f>($M$235) * (40)</f>
        <v>0</v>
      </c>
      <c r="AL235">
        <f>($N$235) * (225)</f>
        <v>0</v>
      </c>
      <c r="AM235">
        <f>($O$235) * (225)</f>
        <v>0</v>
      </c>
      <c r="AN235">
        <f>($P$235) * (40)</f>
        <v>0</v>
      </c>
      <c r="AO235">
        <f>($Q$235) * (40)</f>
        <v>0</v>
      </c>
      <c r="AP235">
        <f>($R$235) * (225)</f>
        <v>0</v>
      </c>
      <c r="AQ235">
        <f>($S$235) * (40)</f>
        <v>0</v>
      </c>
      <c r="AR235">
        <f>($T$235) * (40)</f>
        <v>0</v>
      </c>
      <c r="AS235">
        <f>($U$235) * (225)</f>
        <v>0</v>
      </c>
      <c r="AT235">
        <f>($V$235) * (40)</f>
        <v>0</v>
      </c>
      <c r="AU235">
        <f>($W$235) * (40)</f>
        <v>0</v>
      </c>
      <c r="AV235">
        <f>($X$235) * (275)</f>
        <v>0</v>
      </c>
      <c r="AW235">
        <f>($Y$235) * (90)</f>
        <v>0</v>
      </c>
      <c r="AX235">
        <f>($Z$235) * (325)</f>
        <v>0</v>
      </c>
      <c r="AY235">
        <f>($AA$235) * (140)</f>
        <v>0</v>
      </c>
      <c r="AZ235">
        <f>($AB$235) * (375)</f>
        <v>0</v>
      </c>
      <c r="BA235">
        <f>($AC$235) * (190)</f>
        <v>0</v>
      </c>
      <c r="BB235">
        <f>($AD$235) * (425)</f>
        <v>0</v>
      </c>
      <c r="BC235">
        <f>($AE$235) * (475)</f>
        <v>0</v>
      </c>
      <c r="BO235">
        <v>1</v>
      </c>
      <c r="BP235">
        <f>SUM($O$235:$U$235)</f>
        <v>0</v>
      </c>
    </row>
    <row r="236" spans="1:68" x14ac:dyDescent="0.25">
      <c r="A236">
        <v>218</v>
      </c>
      <c r="B236">
        <v>1</v>
      </c>
      <c r="C236">
        <v>23440</v>
      </c>
      <c r="D236">
        <v>6</v>
      </c>
      <c r="E236">
        <v>10</v>
      </c>
      <c r="F236" t="s">
        <v>7</v>
      </c>
      <c r="G236">
        <v>3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f>($H$236) * (225)</f>
        <v>0</v>
      </c>
      <c r="AG236">
        <f>($I$236) * (40)</f>
        <v>0</v>
      </c>
      <c r="AH236">
        <f>($J$236) * (40)</f>
        <v>0</v>
      </c>
      <c r="AI236">
        <f>($K$236) * (225)</f>
        <v>0</v>
      </c>
      <c r="AJ236">
        <f>($L$236) * (40)</f>
        <v>0</v>
      </c>
      <c r="AK236">
        <f>($M$236) * (40)</f>
        <v>0</v>
      </c>
      <c r="AL236">
        <f>($N$236) * (225)</f>
        <v>0</v>
      </c>
      <c r="AM236">
        <f>($O$236) * (225)</f>
        <v>0</v>
      </c>
      <c r="AN236">
        <f>($P$236) * (40)</f>
        <v>0</v>
      </c>
      <c r="AO236">
        <f>($Q$236) * (40)</f>
        <v>0</v>
      </c>
      <c r="AP236">
        <f>($R$236) * (225)</f>
        <v>0</v>
      </c>
      <c r="AQ236">
        <f>($S$236) * (40)</f>
        <v>0</v>
      </c>
      <c r="AR236">
        <f>($T$236) * (40)</f>
        <v>0</v>
      </c>
      <c r="AS236">
        <f>($U$236) * (225)</f>
        <v>0</v>
      </c>
      <c r="AT236">
        <f>($V$236) * (40)</f>
        <v>0</v>
      </c>
      <c r="AU236">
        <f>($W$236) * (40)</f>
        <v>0</v>
      </c>
      <c r="AV236">
        <f>($X$236) * (225)</f>
        <v>0</v>
      </c>
      <c r="AW236">
        <f>($Y$236) * (40)</f>
        <v>0</v>
      </c>
      <c r="AX236">
        <f>($Z$236) * (225)</f>
        <v>0</v>
      </c>
      <c r="AY236">
        <f>($AA$236) * (40)</f>
        <v>0</v>
      </c>
      <c r="AZ236">
        <f>($AB$236) * (275)</f>
        <v>0</v>
      </c>
      <c r="BA236">
        <f>($AC$236) * (90)</f>
        <v>0</v>
      </c>
      <c r="BB236">
        <f>($AD$236) * (325)</f>
        <v>0</v>
      </c>
      <c r="BC236">
        <f>($AE$236) * (375)</f>
        <v>0</v>
      </c>
      <c r="BO236">
        <v>1</v>
      </c>
      <c r="BP236">
        <f>SUM($X$236:$AD$236)</f>
        <v>0</v>
      </c>
    </row>
    <row r="237" spans="1:68" x14ac:dyDescent="0.25">
      <c r="A237">
        <v>219</v>
      </c>
      <c r="B237">
        <v>1</v>
      </c>
      <c r="C237">
        <v>23440</v>
      </c>
      <c r="D237">
        <v>2</v>
      </c>
      <c r="E237">
        <v>5</v>
      </c>
      <c r="F237" t="s">
        <v>7</v>
      </c>
      <c r="G237">
        <v>3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f>($H$237) * (225)</f>
        <v>0</v>
      </c>
      <c r="AG237">
        <f>($I$237) * (40)</f>
        <v>0</v>
      </c>
      <c r="AH237">
        <f>($J$237) * (40)</f>
        <v>0</v>
      </c>
      <c r="AI237">
        <f>($K$237) * (225)</f>
        <v>0</v>
      </c>
      <c r="AJ237">
        <f>($L$237) * (40)</f>
        <v>0</v>
      </c>
      <c r="AK237">
        <f>($M$237) * (40)</f>
        <v>0</v>
      </c>
      <c r="AL237">
        <f>($N$237) * (225)</f>
        <v>0</v>
      </c>
      <c r="AM237">
        <f>($O$237) * (225)</f>
        <v>0</v>
      </c>
      <c r="AN237">
        <f>($P$237) * (40)</f>
        <v>0</v>
      </c>
      <c r="AO237">
        <f>($Q$237) * (40)</f>
        <v>0</v>
      </c>
      <c r="AP237">
        <f>($R$237) * (275)</f>
        <v>0</v>
      </c>
      <c r="AQ237">
        <f>($S$237) * (90)</f>
        <v>0</v>
      </c>
      <c r="AR237">
        <f>($T$237) * (90)</f>
        <v>0</v>
      </c>
      <c r="AS237">
        <f>($U$237) * (325)</f>
        <v>0</v>
      </c>
      <c r="AT237">
        <f>($V$237) * (140)</f>
        <v>0</v>
      </c>
      <c r="AU237">
        <f>($W$237) * (140)</f>
        <v>0</v>
      </c>
      <c r="AV237">
        <f>($X$237) * (375)</f>
        <v>0</v>
      </c>
      <c r="AW237">
        <f>($Y$237) * (190)</f>
        <v>0</v>
      </c>
      <c r="AX237">
        <f>($Z$237) * (425)</f>
        <v>0</v>
      </c>
      <c r="AY237">
        <f>($AA$237) * (240)</f>
        <v>0</v>
      </c>
      <c r="AZ237">
        <f>($AB$237) * (475)</f>
        <v>0</v>
      </c>
      <c r="BA237">
        <f>($AC$237) * (290)</f>
        <v>0</v>
      </c>
      <c r="BB237">
        <f>($AD$237) * (525)</f>
        <v>0</v>
      </c>
      <c r="BC237">
        <f>($AE$237) * (575)</f>
        <v>0</v>
      </c>
      <c r="BO237">
        <v>1</v>
      </c>
      <c r="BP237">
        <f>SUM($N$237:$R$237)</f>
        <v>0</v>
      </c>
    </row>
    <row r="238" spans="1:68" x14ac:dyDescent="0.25">
      <c r="A238">
        <v>225</v>
      </c>
      <c r="B238">
        <v>2</v>
      </c>
      <c r="C238">
        <v>20260</v>
      </c>
      <c r="D238">
        <v>-1</v>
      </c>
      <c r="E238">
        <v>2</v>
      </c>
      <c r="F238" t="s">
        <v>7</v>
      </c>
      <c r="G238">
        <v>2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f>($H$238) * (295)</f>
        <v>0</v>
      </c>
      <c r="AG238">
        <f>($I$238) * (150)</f>
        <v>0</v>
      </c>
      <c r="AH238">
        <f>($J$238) * (150)</f>
        <v>0</v>
      </c>
      <c r="AI238">
        <f>($K$238) * (365)</f>
        <v>0</v>
      </c>
      <c r="AJ238">
        <f>($L$238) * (220)</f>
        <v>0</v>
      </c>
      <c r="AK238">
        <f>($M$238) * (220)</f>
        <v>0</v>
      </c>
      <c r="AL238">
        <f>($N$238) * (435)</f>
        <v>0</v>
      </c>
      <c r="AM238">
        <f>($O$238) * (505)</f>
        <v>0</v>
      </c>
      <c r="AN238">
        <f>($P$238) * (360)</f>
        <v>0</v>
      </c>
      <c r="AO238">
        <f>($Q$238) * (360)</f>
        <v>0</v>
      </c>
      <c r="AP238">
        <f>($R$238) * (575)</f>
        <v>0</v>
      </c>
      <c r="AQ238">
        <f>($S$238) * (430)</f>
        <v>0</v>
      </c>
      <c r="AR238">
        <f>($T$238) * (430)</f>
        <v>0</v>
      </c>
      <c r="AS238">
        <f>($U$238) * (645)</f>
        <v>0</v>
      </c>
      <c r="AT238">
        <f>($V$238) * (500)</f>
        <v>0</v>
      </c>
      <c r="AU238">
        <f>($W$238) * (500)</f>
        <v>0</v>
      </c>
      <c r="AV238">
        <f>($X$238) * (715)</f>
        <v>0</v>
      </c>
      <c r="AW238">
        <f>($Y$238) * (570)</f>
        <v>0</v>
      </c>
      <c r="AX238">
        <f>($Z$238) * (785)</f>
        <v>0</v>
      </c>
      <c r="AY238">
        <f>($AA$238) * (640)</f>
        <v>0</v>
      </c>
      <c r="AZ238">
        <f>($AB$238) * (855)</f>
        <v>0</v>
      </c>
      <c r="BA238">
        <f>($AC$238) * (710)</f>
        <v>0</v>
      </c>
      <c r="BB238">
        <f>($AD$238) * (925)</f>
        <v>0</v>
      </c>
      <c r="BC238">
        <f>($AE$238) * (995)</f>
        <v>0</v>
      </c>
      <c r="BO238">
        <v>1</v>
      </c>
      <c r="BP238">
        <f>SUM($H$238:$K$238)</f>
        <v>0</v>
      </c>
    </row>
    <row r="239" spans="1:68" x14ac:dyDescent="0.25">
      <c r="A239">
        <v>228</v>
      </c>
      <c r="B239">
        <v>2</v>
      </c>
      <c r="C239">
        <v>20260</v>
      </c>
      <c r="D239">
        <v>2</v>
      </c>
      <c r="E239">
        <v>7</v>
      </c>
      <c r="F239" t="s">
        <v>7</v>
      </c>
      <c r="G239">
        <v>3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f>($H$239) * (225)</f>
        <v>0</v>
      </c>
      <c r="AG239">
        <f>($I$239) * (80)</f>
        <v>0</v>
      </c>
      <c r="AH239">
        <f>($J$239) * (80)</f>
        <v>0</v>
      </c>
      <c r="AI239">
        <f>($K$239) * (225)</f>
        <v>0</v>
      </c>
      <c r="AJ239">
        <f>($L$239) * (80)</f>
        <v>0</v>
      </c>
      <c r="AK239">
        <f>($M$239) * (80)</f>
        <v>0</v>
      </c>
      <c r="AL239">
        <f>($N$239) * (225)</f>
        <v>0</v>
      </c>
      <c r="AM239">
        <f>($O$239) * (225)</f>
        <v>0</v>
      </c>
      <c r="AN239">
        <f>($P$239) * (80)</f>
        <v>0</v>
      </c>
      <c r="AO239">
        <f>($Q$239) * (80)</f>
        <v>0</v>
      </c>
      <c r="AP239">
        <f>($R$239) * (295)</f>
        <v>0</v>
      </c>
      <c r="AQ239">
        <f>($S$239) * (150)</f>
        <v>0</v>
      </c>
      <c r="AR239">
        <f>($T$239) * (150)</f>
        <v>0</v>
      </c>
      <c r="AS239">
        <f>($U$239) * (365)</f>
        <v>0</v>
      </c>
      <c r="AT239">
        <f>($V$239) * (220)</f>
        <v>0</v>
      </c>
      <c r="AU239">
        <f>($W$239) * (220)</f>
        <v>0</v>
      </c>
      <c r="AV239">
        <f>($X$239) * (435)</f>
        <v>0</v>
      </c>
      <c r="AW239">
        <f>($Y$239) * (290)</f>
        <v>0</v>
      </c>
      <c r="AX239">
        <f>($Z$239) * (505)</f>
        <v>0</v>
      </c>
      <c r="AY239">
        <f>($AA$239) * (360)</f>
        <v>0</v>
      </c>
      <c r="AZ239">
        <f>($AB$239) * (575)</f>
        <v>0</v>
      </c>
      <c r="BA239">
        <f>($AC$239) * (430)</f>
        <v>0</v>
      </c>
      <c r="BB239">
        <f>($AD$239) * (645)</f>
        <v>0</v>
      </c>
      <c r="BC239">
        <f>($AE$239) * (715)</f>
        <v>0</v>
      </c>
      <c r="BO239">
        <v>1</v>
      </c>
      <c r="BP239">
        <f>SUM($N$239:$X$239)</f>
        <v>0</v>
      </c>
    </row>
    <row r="240" spans="1:68" x14ac:dyDescent="0.25">
      <c r="A240">
        <v>229</v>
      </c>
      <c r="B240">
        <v>2</v>
      </c>
      <c r="C240">
        <v>20260</v>
      </c>
      <c r="D240">
        <v>4</v>
      </c>
      <c r="E240">
        <v>9</v>
      </c>
      <c r="F240" t="s">
        <v>7</v>
      </c>
      <c r="G240">
        <v>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f>($H$240) * (225)</f>
        <v>0</v>
      </c>
      <c r="AG240">
        <f>($I$240) * (80)</f>
        <v>0</v>
      </c>
      <c r="AH240">
        <f>($J$240) * (80)</f>
        <v>0</v>
      </c>
      <c r="AI240">
        <f>($K$240) * (225)</f>
        <v>0</v>
      </c>
      <c r="AJ240">
        <f>($L$240) * (80)</f>
        <v>0</v>
      </c>
      <c r="AK240">
        <f>($M$240) * (80)</f>
        <v>0</v>
      </c>
      <c r="AL240">
        <f>($N$240) * (225)</f>
        <v>0</v>
      </c>
      <c r="AM240">
        <f>($O$240) * (225)</f>
        <v>0</v>
      </c>
      <c r="AN240">
        <f>($P$240) * (80)</f>
        <v>0</v>
      </c>
      <c r="AO240">
        <f>($Q$240) * (80)</f>
        <v>0</v>
      </c>
      <c r="AP240">
        <f>($R$240) * (225)</f>
        <v>0</v>
      </c>
      <c r="AQ240">
        <f>($S$240) * (80)</f>
        <v>0</v>
      </c>
      <c r="AR240">
        <f>($T$240) * (80)</f>
        <v>0</v>
      </c>
      <c r="AS240">
        <f>($U$240) * (225)</f>
        <v>0</v>
      </c>
      <c r="AT240">
        <f>($V$240) * (80)</f>
        <v>0</v>
      </c>
      <c r="AU240">
        <f>($W$240) * (80)</f>
        <v>0</v>
      </c>
      <c r="AV240">
        <f>($X$240) * (225)</f>
        <v>0</v>
      </c>
      <c r="AW240">
        <f>($Y$240) * (80)</f>
        <v>0</v>
      </c>
      <c r="AX240">
        <f>($Z$240) * (225)</f>
        <v>0</v>
      </c>
      <c r="AY240">
        <f>($AA$240) * (80)</f>
        <v>0</v>
      </c>
      <c r="AZ240">
        <f>($AB$240) * (295)</f>
        <v>0</v>
      </c>
      <c r="BA240">
        <f>($AC$240) * (150)</f>
        <v>0</v>
      </c>
      <c r="BB240">
        <f>($AD$240) * (365)</f>
        <v>0</v>
      </c>
      <c r="BC240">
        <f>($AE$240) * (435)</f>
        <v>0</v>
      </c>
      <c r="BO240">
        <v>1</v>
      </c>
      <c r="BP240">
        <f>SUM($R$240:$AB$240)</f>
        <v>0</v>
      </c>
    </row>
    <row r="241" spans="1:68" x14ac:dyDescent="0.25">
      <c r="A241">
        <v>230</v>
      </c>
      <c r="B241">
        <v>2</v>
      </c>
      <c r="C241">
        <v>20260</v>
      </c>
      <c r="D241">
        <v>3</v>
      </c>
      <c r="E241">
        <v>7</v>
      </c>
      <c r="F241" t="s">
        <v>7</v>
      </c>
      <c r="G241">
        <v>5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f>($H$241) * (225)</f>
        <v>0</v>
      </c>
      <c r="AG241">
        <f>($I$241) * (80)</f>
        <v>0</v>
      </c>
      <c r="AH241">
        <f>($J$241) * (80)</f>
        <v>0</v>
      </c>
      <c r="AI241">
        <f>($K$241) * (225)</f>
        <v>0</v>
      </c>
      <c r="AJ241">
        <f>($L$241) * (80)</f>
        <v>0</v>
      </c>
      <c r="AK241">
        <f>($M$241) * (80)</f>
        <v>0</v>
      </c>
      <c r="AL241">
        <f>($N$241) * (225)</f>
        <v>0</v>
      </c>
      <c r="AM241">
        <f>($O$241) * (225)</f>
        <v>0</v>
      </c>
      <c r="AN241">
        <f>($P$241) * (80)</f>
        <v>0</v>
      </c>
      <c r="AO241">
        <f>($Q$241) * (80)</f>
        <v>0</v>
      </c>
      <c r="AP241">
        <f>($R$241) * (225)</f>
        <v>0</v>
      </c>
      <c r="AQ241">
        <f>($S$241) * (80)</f>
        <v>0</v>
      </c>
      <c r="AR241">
        <f>($T$241) * (80)</f>
        <v>0</v>
      </c>
      <c r="AS241">
        <f>($U$241) * (225)</f>
        <v>0</v>
      </c>
      <c r="AT241">
        <f>($V$241) * (80)</f>
        <v>0</v>
      </c>
      <c r="AU241">
        <f>($W$241) * (80)</f>
        <v>0</v>
      </c>
      <c r="AV241">
        <f>($X$241) * (225)</f>
        <v>0</v>
      </c>
      <c r="AW241">
        <f>($Y$241) * (80)</f>
        <v>0</v>
      </c>
      <c r="AX241">
        <f>($Z$241) * (295)</f>
        <v>0</v>
      </c>
      <c r="AY241">
        <f>($AA$241) * (150)</f>
        <v>0</v>
      </c>
      <c r="AZ241">
        <f>($AB$241) * (365)</f>
        <v>0</v>
      </c>
      <c r="BA241">
        <f>($AC$241) * (220)</f>
        <v>0</v>
      </c>
      <c r="BB241">
        <f>($AD$241) * (435)</f>
        <v>0</v>
      </c>
      <c r="BC241">
        <f>($AE$241) * (505)</f>
        <v>0</v>
      </c>
      <c r="BO241">
        <v>1</v>
      </c>
      <c r="BP241">
        <f>SUM($O$241:$X$241)</f>
        <v>0</v>
      </c>
    </row>
    <row r="242" spans="1:68" x14ac:dyDescent="0.25">
      <c r="A242">
        <v>231</v>
      </c>
      <c r="B242">
        <v>2</v>
      </c>
      <c r="C242">
        <v>4200</v>
      </c>
      <c r="D242">
        <v>2</v>
      </c>
      <c r="E242">
        <v>6</v>
      </c>
      <c r="F242" t="s">
        <v>7</v>
      </c>
      <c r="G242">
        <v>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f>($H$242) * (225)</f>
        <v>0</v>
      </c>
      <c r="AG242">
        <f>($I$242) * (80)</f>
        <v>0</v>
      </c>
      <c r="AH242">
        <f>($J$242) * (80)</f>
        <v>0</v>
      </c>
      <c r="AI242">
        <f>($K$242) * (225)</f>
        <v>0</v>
      </c>
      <c r="AJ242">
        <f>($L$242) * (80)</f>
        <v>0</v>
      </c>
      <c r="AK242">
        <f>($M$242) * (80)</f>
        <v>0</v>
      </c>
      <c r="AL242">
        <f>($N$242) * (225)</f>
        <v>0</v>
      </c>
      <c r="AM242">
        <f>($O$242) * (225)</f>
        <v>0</v>
      </c>
      <c r="AN242">
        <f>($P$242) * (80)</f>
        <v>0</v>
      </c>
      <c r="AO242">
        <f>($Q$242) * (80)</f>
        <v>0</v>
      </c>
      <c r="AP242">
        <f>($R$242) * (295)</f>
        <v>0</v>
      </c>
      <c r="AQ242">
        <f>($S$242) * (150)</f>
        <v>0</v>
      </c>
      <c r="AR242">
        <f>($T$242) * (150)</f>
        <v>0</v>
      </c>
      <c r="AS242">
        <f>($U$242) * (365)</f>
        <v>0</v>
      </c>
      <c r="AT242">
        <f>($V$242) * (220)</f>
        <v>0</v>
      </c>
      <c r="AU242">
        <f>($W$242) * (220)</f>
        <v>0</v>
      </c>
      <c r="AV242">
        <f>($X$242) * (435)</f>
        <v>0</v>
      </c>
      <c r="AW242">
        <f>($Y$242) * (290)</f>
        <v>0</v>
      </c>
      <c r="AX242">
        <f>($Z$242) * (505)</f>
        <v>0</v>
      </c>
      <c r="AY242">
        <f>($AA$242) * (360)</f>
        <v>0</v>
      </c>
      <c r="AZ242">
        <f>($AB$242) * (575)</f>
        <v>0</v>
      </c>
      <c r="BA242">
        <f>($AC$242) * (430)</f>
        <v>0</v>
      </c>
      <c r="BB242">
        <f>($AD$242) * (645)</f>
        <v>0</v>
      </c>
      <c r="BC242">
        <f>($AE$242) * (715)</f>
        <v>0</v>
      </c>
      <c r="BO242">
        <v>1</v>
      </c>
      <c r="BP242">
        <f>SUM($N$242:$U$242)</f>
        <v>0</v>
      </c>
    </row>
    <row r="243" spans="1:68" x14ac:dyDescent="0.25">
      <c r="A243">
        <v>234</v>
      </c>
      <c r="B243">
        <v>1</v>
      </c>
      <c r="C243">
        <v>20300</v>
      </c>
      <c r="D243">
        <v>-1</v>
      </c>
      <c r="E243">
        <v>2</v>
      </c>
      <c r="F243" t="s">
        <v>7</v>
      </c>
      <c r="G243">
        <v>4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f>($H$243) * (225)</f>
        <v>0</v>
      </c>
      <c r="AG243">
        <f>($I$243) * (40)</f>
        <v>0</v>
      </c>
      <c r="AH243">
        <f>($J$243) * (40)</f>
        <v>0</v>
      </c>
      <c r="AI243">
        <f>($K$243) * (225)</f>
        <v>0</v>
      </c>
      <c r="AJ243">
        <f>($L$243) * (40)</f>
        <v>0</v>
      </c>
      <c r="AK243">
        <f>($M$243) * (40)</f>
        <v>0</v>
      </c>
      <c r="AL243">
        <f>($N$243) * (275)</f>
        <v>0</v>
      </c>
      <c r="AM243">
        <f>($O$243) * (325)</f>
        <v>0</v>
      </c>
      <c r="AN243">
        <f>($P$243) * (140)</f>
        <v>0</v>
      </c>
      <c r="AO243">
        <f>($Q$243) * (140)</f>
        <v>0</v>
      </c>
      <c r="AP243">
        <f>($R$243) * (375)</f>
        <v>0</v>
      </c>
      <c r="AQ243">
        <f>($S$243) * (190)</f>
        <v>0</v>
      </c>
      <c r="AR243">
        <f>($T$243) * (190)</f>
        <v>0</v>
      </c>
      <c r="AS243">
        <f>($U$243) * (425)</f>
        <v>0</v>
      </c>
      <c r="AT243">
        <f>($V$243) * (240)</f>
        <v>0</v>
      </c>
      <c r="AU243">
        <f>($W$243) * (240)</f>
        <v>0</v>
      </c>
      <c r="AV243">
        <f>($X$243) * (475)</f>
        <v>0</v>
      </c>
      <c r="AW243">
        <f>($Y$243) * (290)</f>
        <v>0</v>
      </c>
      <c r="AX243">
        <f>($Z$243) * (525)</f>
        <v>0</v>
      </c>
      <c r="AY243">
        <f>($AA$243) * (340)</f>
        <v>0</v>
      </c>
      <c r="AZ243">
        <f>($AB$243) * (575)</f>
        <v>0</v>
      </c>
      <c r="BA243">
        <f>($AC$243) * (390)</f>
        <v>0</v>
      </c>
      <c r="BB243">
        <f>($AD$243) * (625)</f>
        <v>0</v>
      </c>
      <c r="BC243">
        <f>($AE$243) * (675)</f>
        <v>0</v>
      </c>
      <c r="BO243">
        <v>1</v>
      </c>
      <c r="BP243">
        <f>SUM($H$243:$K$243)</f>
        <v>0</v>
      </c>
    </row>
    <row r="244" spans="1:68" x14ac:dyDescent="0.25">
      <c r="A244">
        <v>235</v>
      </c>
      <c r="B244">
        <v>1</v>
      </c>
      <c r="C244">
        <v>20300</v>
      </c>
      <c r="D244">
        <v>-1</v>
      </c>
      <c r="E244">
        <v>3</v>
      </c>
      <c r="F244" t="s">
        <v>7</v>
      </c>
      <c r="G244">
        <v>5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f>($H$244) * (225)</f>
        <v>0</v>
      </c>
      <c r="AG244">
        <f>($I$244) * (40)</f>
        <v>0</v>
      </c>
      <c r="AH244">
        <f>($J$244) * (40)</f>
        <v>0</v>
      </c>
      <c r="AI244">
        <f>($K$244) * (225)</f>
        <v>0</v>
      </c>
      <c r="AJ244">
        <f>($L$244) * (40)</f>
        <v>0</v>
      </c>
      <c r="AK244">
        <f>($M$244) * (40)</f>
        <v>0</v>
      </c>
      <c r="AL244">
        <f>($N$244) * (225)</f>
        <v>0</v>
      </c>
      <c r="AM244">
        <f>($O$244) * (275)</f>
        <v>0</v>
      </c>
      <c r="AN244">
        <f>($P$244) * (90)</f>
        <v>0</v>
      </c>
      <c r="AO244">
        <f>($Q$244) * (90)</f>
        <v>0</v>
      </c>
      <c r="AP244">
        <f>($R$244) * (325)</f>
        <v>0</v>
      </c>
      <c r="AQ244">
        <f>($S$244) * (140)</f>
        <v>0</v>
      </c>
      <c r="AR244">
        <f>($T$244) * (140)</f>
        <v>0</v>
      </c>
      <c r="AS244">
        <f>($U$244) * (375)</f>
        <v>0</v>
      </c>
      <c r="AT244">
        <f>($V$244) * (190)</f>
        <v>0</v>
      </c>
      <c r="AU244">
        <f>($W$244) * (190)</f>
        <v>0</v>
      </c>
      <c r="AV244">
        <f>($X$244) * (425)</f>
        <v>0</v>
      </c>
      <c r="AW244">
        <f>($Y$244) * (240)</f>
        <v>0</v>
      </c>
      <c r="AX244">
        <f>($Z$244) * (475)</f>
        <v>0</v>
      </c>
      <c r="AY244">
        <f>($AA$244) * (290)</f>
        <v>0</v>
      </c>
      <c r="AZ244">
        <f>($AB$244) * (525)</f>
        <v>0</v>
      </c>
      <c r="BA244">
        <f>($AC$244) * (340)</f>
        <v>0</v>
      </c>
      <c r="BB244">
        <f>($AD$244) * (575)</f>
        <v>0</v>
      </c>
      <c r="BC244">
        <f>($AE$244) * (625)</f>
        <v>0</v>
      </c>
      <c r="BO244">
        <v>1</v>
      </c>
      <c r="BP244">
        <f>SUM($H$244:$N$244)</f>
        <v>0</v>
      </c>
    </row>
    <row r="245" spans="1:68" x14ac:dyDescent="0.25">
      <c r="A245">
        <v>236</v>
      </c>
      <c r="B245">
        <v>1</v>
      </c>
      <c r="C245">
        <v>20300</v>
      </c>
      <c r="D245">
        <v>-1</v>
      </c>
      <c r="E245">
        <v>3</v>
      </c>
      <c r="F245" t="s">
        <v>7</v>
      </c>
      <c r="G245">
        <v>4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f>($H$245) * (225)</f>
        <v>0</v>
      </c>
      <c r="AG245">
        <f>($I$245) * (40)</f>
        <v>0</v>
      </c>
      <c r="AH245">
        <f>($J$245) * (40)</f>
        <v>0</v>
      </c>
      <c r="AI245">
        <f>($K$245) * (225)</f>
        <v>0</v>
      </c>
      <c r="AJ245">
        <f>($L$245) * (40)</f>
        <v>0</v>
      </c>
      <c r="AK245">
        <f>($M$245) * (40)</f>
        <v>0</v>
      </c>
      <c r="AL245">
        <f>($N$245) * (275)</f>
        <v>0</v>
      </c>
      <c r="AM245">
        <f>($O$245) * (325)</f>
        <v>0</v>
      </c>
      <c r="AN245">
        <f>($P$245) * (140)</f>
        <v>0</v>
      </c>
      <c r="AO245">
        <f>($Q$245) * (140)</f>
        <v>0</v>
      </c>
      <c r="AP245">
        <f>($R$245) * (375)</f>
        <v>0</v>
      </c>
      <c r="AQ245">
        <f>($S$245) * (190)</f>
        <v>0</v>
      </c>
      <c r="AR245">
        <f>($T$245) * (190)</f>
        <v>0</v>
      </c>
      <c r="AS245">
        <f>($U$245) * (425)</f>
        <v>0</v>
      </c>
      <c r="AT245">
        <f>($V$245) * (240)</f>
        <v>0</v>
      </c>
      <c r="AU245">
        <f>($W$245) * (240)</f>
        <v>0</v>
      </c>
      <c r="AV245">
        <f>($X$245) * (475)</f>
        <v>0</v>
      </c>
      <c r="AW245">
        <f>($Y$245) * (290)</f>
        <v>0</v>
      </c>
      <c r="AX245">
        <f>($Z$245) * (525)</f>
        <v>0</v>
      </c>
      <c r="AY245">
        <f>($AA$245) * (340)</f>
        <v>0</v>
      </c>
      <c r="AZ245">
        <f>($AB$245) * (575)</f>
        <v>0</v>
      </c>
      <c r="BA245">
        <f>($AC$245) * (390)</f>
        <v>0</v>
      </c>
      <c r="BB245">
        <f>($AD$245) * (625)</f>
        <v>0</v>
      </c>
      <c r="BC245">
        <f>($AE$245) * (675)</f>
        <v>0</v>
      </c>
      <c r="BO245">
        <v>1</v>
      </c>
      <c r="BP245">
        <f>SUM($H$245:$N$245)</f>
        <v>0</v>
      </c>
    </row>
    <row r="246" spans="1:68" x14ac:dyDescent="0.25">
      <c r="A246">
        <v>237</v>
      </c>
      <c r="B246">
        <v>1</v>
      </c>
      <c r="C246">
        <v>20300</v>
      </c>
      <c r="D246">
        <v>2</v>
      </c>
      <c r="E246">
        <v>6</v>
      </c>
      <c r="F246" t="s">
        <v>7</v>
      </c>
      <c r="G246">
        <v>3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f>($H$246) * (225)</f>
        <v>0</v>
      </c>
      <c r="AG246">
        <f>($I$246) * (40)</f>
        <v>0</v>
      </c>
      <c r="AH246">
        <f>($J$246) * (40)</f>
        <v>0</v>
      </c>
      <c r="AI246">
        <f>($K$246) * (225)</f>
        <v>0</v>
      </c>
      <c r="AJ246">
        <f>($L$246) * (40)</f>
        <v>0</v>
      </c>
      <c r="AK246">
        <f>($M$246) * (40)</f>
        <v>0</v>
      </c>
      <c r="AL246">
        <f>($N$246) * (225)</f>
        <v>0</v>
      </c>
      <c r="AM246">
        <f>($O$246) * (225)</f>
        <v>0</v>
      </c>
      <c r="AN246">
        <f>($P$246) * (40)</f>
        <v>0</v>
      </c>
      <c r="AO246">
        <f>($Q$246) * (40)</f>
        <v>0</v>
      </c>
      <c r="AP246">
        <f>($R$246) * (275)</f>
        <v>0</v>
      </c>
      <c r="AQ246">
        <f>($S$246) * (90)</f>
        <v>0</v>
      </c>
      <c r="AR246">
        <f>($T$246) * (90)</f>
        <v>0</v>
      </c>
      <c r="AS246">
        <f>($U$246) * (325)</f>
        <v>0</v>
      </c>
      <c r="AT246">
        <f>($V$246) * (140)</f>
        <v>0</v>
      </c>
      <c r="AU246">
        <f>($W$246) * (140)</f>
        <v>0</v>
      </c>
      <c r="AV246">
        <f>($X$246) * (375)</f>
        <v>0</v>
      </c>
      <c r="AW246">
        <f>($Y$246) * (190)</f>
        <v>0</v>
      </c>
      <c r="AX246">
        <f>($Z$246) * (425)</f>
        <v>0</v>
      </c>
      <c r="AY246">
        <f>($AA$246) * (240)</f>
        <v>0</v>
      </c>
      <c r="AZ246">
        <f>($AB$246) * (475)</f>
        <v>0</v>
      </c>
      <c r="BA246">
        <f>($AC$246) * (290)</f>
        <v>0</v>
      </c>
      <c r="BB246">
        <f>($AD$246) * (525)</f>
        <v>0</v>
      </c>
      <c r="BC246">
        <f>($AE$246) * (575)</f>
        <v>0</v>
      </c>
      <c r="BO246">
        <v>1</v>
      </c>
      <c r="BP246">
        <f>SUM($N$246:$U$246)</f>
        <v>0</v>
      </c>
    </row>
    <row r="247" spans="1:68" x14ac:dyDescent="0.25">
      <c r="A247">
        <v>238</v>
      </c>
      <c r="B247">
        <v>1</v>
      </c>
      <c r="C247">
        <v>20300</v>
      </c>
      <c r="D247">
        <v>2</v>
      </c>
      <c r="E247">
        <v>7</v>
      </c>
      <c r="F247" t="s">
        <v>7</v>
      </c>
      <c r="G247">
        <v>3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f>($H$247) * (225)</f>
        <v>0</v>
      </c>
      <c r="AG247">
        <f>($I$247) * (40)</f>
        <v>0</v>
      </c>
      <c r="AH247">
        <f>($J$247) * (40)</f>
        <v>0</v>
      </c>
      <c r="AI247">
        <f>($K$247) * (225)</f>
        <v>0</v>
      </c>
      <c r="AJ247">
        <f>($L$247) * (40)</f>
        <v>0</v>
      </c>
      <c r="AK247">
        <f>($M$247) * (40)</f>
        <v>0</v>
      </c>
      <c r="AL247">
        <f>($N$247) * (225)</f>
        <v>0</v>
      </c>
      <c r="AM247">
        <f>($O$247) * (225)</f>
        <v>0</v>
      </c>
      <c r="AN247">
        <f>($P$247) * (40)</f>
        <v>0</v>
      </c>
      <c r="AO247">
        <f>($Q$247) * (40)</f>
        <v>0</v>
      </c>
      <c r="AP247">
        <f>($R$247) * (275)</f>
        <v>0</v>
      </c>
      <c r="AQ247">
        <f>($S$247) * (90)</f>
        <v>0</v>
      </c>
      <c r="AR247">
        <f>($T$247) * (90)</f>
        <v>0</v>
      </c>
      <c r="AS247">
        <f>($U$247) * (325)</f>
        <v>0</v>
      </c>
      <c r="AT247">
        <f>($V$247) * (140)</f>
        <v>0</v>
      </c>
      <c r="AU247">
        <f>($W$247) * (140)</f>
        <v>0</v>
      </c>
      <c r="AV247">
        <f>($X$247) * (375)</f>
        <v>0</v>
      </c>
      <c r="AW247">
        <f>($Y$247) * (190)</f>
        <v>0</v>
      </c>
      <c r="AX247">
        <f>($Z$247) * (425)</f>
        <v>0</v>
      </c>
      <c r="AY247">
        <f>($AA$247) * (240)</f>
        <v>0</v>
      </c>
      <c r="AZ247">
        <f>($AB$247) * (475)</f>
        <v>0</v>
      </c>
      <c r="BA247">
        <f>($AC$247) * (290)</f>
        <v>0</v>
      </c>
      <c r="BB247">
        <f>($AD$247) * (525)</f>
        <v>0</v>
      </c>
      <c r="BC247">
        <f>($AE$247) * (575)</f>
        <v>0</v>
      </c>
      <c r="BO247">
        <v>1</v>
      </c>
      <c r="BP247">
        <f>SUM($N$247:$X$247)</f>
        <v>0</v>
      </c>
    </row>
    <row r="248" spans="1:68" x14ac:dyDescent="0.25">
      <c r="A248">
        <v>239</v>
      </c>
      <c r="B248">
        <v>1</v>
      </c>
      <c r="C248">
        <v>20300</v>
      </c>
      <c r="D248">
        <v>0</v>
      </c>
      <c r="E248">
        <v>5</v>
      </c>
      <c r="F248" t="s">
        <v>7</v>
      </c>
      <c r="G248">
        <v>4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f>($H$248) * (225)</f>
        <v>0</v>
      </c>
      <c r="AG248">
        <f>($I$248) * (40)</f>
        <v>0</v>
      </c>
      <c r="AH248">
        <f>($J$248) * (40)</f>
        <v>0</v>
      </c>
      <c r="AI248">
        <f>($K$248) * (225)</f>
        <v>0</v>
      </c>
      <c r="AJ248">
        <f>($L$248) * (40)</f>
        <v>0</v>
      </c>
      <c r="AK248">
        <f>($M$248) * (40)</f>
        <v>0</v>
      </c>
      <c r="AL248">
        <f>($N$248) * (225)</f>
        <v>0</v>
      </c>
      <c r="AM248">
        <f>($O$248) * (275)</f>
        <v>0</v>
      </c>
      <c r="AN248">
        <f>($P$248) * (90)</f>
        <v>0</v>
      </c>
      <c r="AO248">
        <f>($Q$248) * (90)</f>
        <v>0</v>
      </c>
      <c r="AP248">
        <f>($R$248) * (325)</f>
        <v>0</v>
      </c>
      <c r="AQ248">
        <f>($S$248) * (140)</f>
        <v>0</v>
      </c>
      <c r="AR248">
        <f>($T$248) * (140)</f>
        <v>0</v>
      </c>
      <c r="AS248">
        <f>($U$248) * (375)</f>
        <v>0</v>
      </c>
      <c r="AT248">
        <f>($V$248) * (190)</f>
        <v>0</v>
      </c>
      <c r="AU248">
        <f>($W$248) * (190)</f>
        <v>0</v>
      </c>
      <c r="AV248">
        <f>($X$248) * (425)</f>
        <v>0</v>
      </c>
      <c r="AW248">
        <f>($Y$248) * (240)</f>
        <v>0</v>
      </c>
      <c r="AX248">
        <f>($Z$248) * (475)</f>
        <v>0</v>
      </c>
      <c r="AY248">
        <f>($AA$248) * (290)</f>
        <v>0</v>
      </c>
      <c r="AZ248">
        <f>($AB$248) * (525)</f>
        <v>0</v>
      </c>
      <c r="BA248">
        <f>($AC$248) * (340)</f>
        <v>0</v>
      </c>
      <c r="BB248">
        <f>($AD$248) * (575)</f>
        <v>0</v>
      </c>
      <c r="BC248">
        <f>($AE$248) * (625)</f>
        <v>0</v>
      </c>
      <c r="BO248">
        <v>1</v>
      </c>
      <c r="BP248">
        <f>SUM($H$248:$R$248)</f>
        <v>0</v>
      </c>
    </row>
    <row r="249" spans="1:68" x14ac:dyDescent="0.25">
      <c r="A249">
        <v>241</v>
      </c>
      <c r="B249">
        <v>1</v>
      </c>
      <c r="C249">
        <v>20300</v>
      </c>
      <c r="D249">
        <v>5</v>
      </c>
      <c r="E249">
        <v>9</v>
      </c>
      <c r="F249" t="s">
        <v>7</v>
      </c>
      <c r="G249">
        <v>4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f>($H$249) * (225)</f>
        <v>0</v>
      </c>
      <c r="AG249">
        <f>($I$249) * (40)</f>
        <v>0</v>
      </c>
      <c r="AH249">
        <f>($J$249) * (40)</f>
        <v>0</v>
      </c>
      <c r="AI249">
        <f>($K$249) * (225)</f>
        <v>0</v>
      </c>
      <c r="AJ249">
        <f>($L$249) * (40)</f>
        <v>0</v>
      </c>
      <c r="AK249">
        <f>($M$249) * (40)</f>
        <v>0</v>
      </c>
      <c r="AL249">
        <f>($N$249) * (225)</f>
        <v>0</v>
      </c>
      <c r="AM249">
        <f>($O$249) * (225)</f>
        <v>0</v>
      </c>
      <c r="AN249">
        <f>($P$249) * (40)</f>
        <v>0</v>
      </c>
      <c r="AO249">
        <f>($Q$249) * (40)</f>
        <v>0</v>
      </c>
      <c r="AP249">
        <f>($R$249) * (225)</f>
        <v>0</v>
      </c>
      <c r="AQ249">
        <f>($S$249) * (40)</f>
        <v>0</v>
      </c>
      <c r="AR249">
        <f>($T$249) * (40)</f>
        <v>0</v>
      </c>
      <c r="AS249">
        <f>($U$249) * (225)</f>
        <v>0</v>
      </c>
      <c r="AT249">
        <f>($V$249) * (40)</f>
        <v>0</v>
      </c>
      <c r="AU249">
        <f>($W$249) * (40)</f>
        <v>0</v>
      </c>
      <c r="AV249">
        <f>($X$249) * (225)</f>
        <v>0</v>
      </c>
      <c r="AW249">
        <f>($Y$249) * (40)</f>
        <v>0</v>
      </c>
      <c r="AX249">
        <f>($Z$249) * (225)</f>
        <v>0</v>
      </c>
      <c r="AY249">
        <f>($AA$249) * (40)</f>
        <v>0</v>
      </c>
      <c r="AZ249">
        <f>($AB$249) * (275)</f>
        <v>0</v>
      </c>
      <c r="BA249">
        <f>($AC$249) * (90)</f>
        <v>0</v>
      </c>
      <c r="BB249">
        <f>($AD$249) * (325)</f>
        <v>0</v>
      </c>
      <c r="BC249">
        <f>($AE$249) * (375)</f>
        <v>0</v>
      </c>
      <c r="BO249">
        <v>1</v>
      </c>
      <c r="BP249">
        <f>SUM($U$249:$AB$249)</f>
        <v>0</v>
      </c>
    </row>
    <row r="250" spans="1:68" x14ac:dyDescent="0.25">
      <c r="A250">
        <v>243</v>
      </c>
      <c r="B250">
        <v>2</v>
      </c>
      <c r="C250">
        <v>10374</v>
      </c>
      <c r="D250">
        <v>1</v>
      </c>
      <c r="E250">
        <v>5</v>
      </c>
      <c r="F250" t="s">
        <v>7</v>
      </c>
      <c r="G250">
        <v>4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f>($H$250) * (225)</f>
        <v>0</v>
      </c>
      <c r="AG250">
        <f>($I$250) * (80)</f>
        <v>0</v>
      </c>
      <c r="AH250">
        <f>($J$250) * (80)</f>
        <v>0</v>
      </c>
      <c r="AI250">
        <f>($K$250) * (225)</f>
        <v>0</v>
      </c>
      <c r="AJ250">
        <f>($L$250) * (80)</f>
        <v>0</v>
      </c>
      <c r="AK250">
        <f>($M$250) * (80)</f>
        <v>0</v>
      </c>
      <c r="AL250">
        <f>($N$250) * (225)</f>
        <v>0</v>
      </c>
      <c r="AM250">
        <f>($O$250) * (225)</f>
        <v>0</v>
      </c>
      <c r="AN250">
        <f>($P$250) * (80)</f>
        <v>0</v>
      </c>
      <c r="AO250">
        <f>($Q$250) * (80)</f>
        <v>0</v>
      </c>
      <c r="AP250">
        <f>($R$250) * (295)</f>
        <v>0</v>
      </c>
      <c r="AQ250">
        <f>($S$250) * (150)</f>
        <v>0</v>
      </c>
      <c r="AR250">
        <f>($T$250) * (150)</f>
        <v>0</v>
      </c>
      <c r="AS250">
        <f>($U$250) * (365)</f>
        <v>0</v>
      </c>
      <c r="AT250">
        <f>($V$250) * (220)</f>
        <v>0</v>
      </c>
      <c r="AU250">
        <f>($W$250) * (220)</f>
        <v>0</v>
      </c>
      <c r="AV250">
        <f>($X$250) * (435)</f>
        <v>0</v>
      </c>
      <c r="AW250">
        <f>($Y$250) * (290)</f>
        <v>0</v>
      </c>
      <c r="AX250">
        <f>($Z$250) * (505)</f>
        <v>0</v>
      </c>
      <c r="AY250">
        <f>($AA$250) * (360)</f>
        <v>0</v>
      </c>
      <c r="AZ250">
        <f>($AB$250) * (575)</f>
        <v>0</v>
      </c>
      <c r="BA250">
        <f>($AC$250) * (430)</f>
        <v>0</v>
      </c>
      <c r="BB250">
        <f>($AD$250) * (645)</f>
        <v>0</v>
      </c>
      <c r="BC250">
        <f>($AE$250) * (715)</f>
        <v>0</v>
      </c>
      <c r="BO250">
        <v>1</v>
      </c>
      <c r="BP250">
        <f>SUM($K$250:$R$250)</f>
        <v>0</v>
      </c>
    </row>
    <row r="251" spans="1:68" x14ac:dyDescent="0.25">
      <c r="A251">
        <v>245</v>
      </c>
      <c r="B251">
        <v>2</v>
      </c>
      <c r="C251">
        <v>15200</v>
      </c>
      <c r="D251">
        <v>2</v>
      </c>
      <c r="E251">
        <v>6</v>
      </c>
      <c r="F251" t="s">
        <v>7</v>
      </c>
      <c r="G251">
        <v>3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f>($H$251) * (225)</f>
        <v>0</v>
      </c>
      <c r="AG251">
        <f>($I$251) * (80)</f>
        <v>0</v>
      </c>
      <c r="AH251">
        <f>($J$251) * (80)</f>
        <v>0</v>
      </c>
      <c r="AI251">
        <f>($K$251) * (225)</f>
        <v>0</v>
      </c>
      <c r="AJ251">
        <f>($L$251) * (80)</f>
        <v>0</v>
      </c>
      <c r="AK251">
        <f>($M$251) * (80)</f>
        <v>0</v>
      </c>
      <c r="AL251">
        <f>($N$251) * (225)</f>
        <v>0</v>
      </c>
      <c r="AM251">
        <f>($O$251) * (225)</f>
        <v>0</v>
      </c>
      <c r="AN251">
        <f>($P$251) * (80)</f>
        <v>0</v>
      </c>
      <c r="AO251">
        <f>($Q$251) * (80)</f>
        <v>0</v>
      </c>
      <c r="AP251">
        <f>($R$251) * (295)</f>
        <v>0</v>
      </c>
      <c r="AQ251">
        <f>($S$251) * (150)</f>
        <v>0</v>
      </c>
      <c r="AR251">
        <f>($T$251) * (150)</f>
        <v>0</v>
      </c>
      <c r="AS251">
        <f>($U$251) * (365)</f>
        <v>0</v>
      </c>
      <c r="AT251">
        <f>($V$251) * (220)</f>
        <v>0</v>
      </c>
      <c r="AU251">
        <f>($W$251) * (220)</f>
        <v>0</v>
      </c>
      <c r="AV251">
        <f>($X$251) * (435)</f>
        <v>0</v>
      </c>
      <c r="AW251">
        <f>($Y$251) * (290)</f>
        <v>0</v>
      </c>
      <c r="AX251">
        <f>($Z$251) * (505)</f>
        <v>0</v>
      </c>
      <c r="AY251">
        <f>($AA$251) * (360)</f>
        <v>0</v>
      </c>
      <c r="AZ251">
        <f>($AB$251) * (575)</f>
        <v>0</v>
      </c>
      <c r="BA251">
        <f>($AC$251) * (430)</f>
        <v>0</v>
      </c>
      <c r="BB251">
        <f>($AD$251) * (645)</f>
        <v>0</v>
      </c>
      <c r="BC251">
        <f>($AE$251) * (715)</f>
        <v>0</v>
      </c>
      <c r="BO251">
        <v>1</v>
      </c>
      <c r="BP251">
        <f>SUM($N$251:$U$251)</f>
        <v>0</v>
      </c>
    </row>
    <row r="252" spans="1:68" x14ac:dyDescent="0.25">
      <c r="A252">
        <v>246</v>
      </c>
      <c r="B252">
        <v>1</v>
      </c>
      <c r="C252">
        <v>22300</v>
      </c>
      <c r="D252">
        <v>5</v>
      </c>
      <c r="E252">
        <v>8</v>
      </c>
      <c r="F252" t="s">
        <v>7</v>
      </c>
      <c r="G252">
        <v>4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f>($H$252) * (225)</f>
        <v>0</v>
      </c>
      <c r="AG252">
        <f>($I$252) * (40)</f>
        <v>0</v>
      </c>
      <c r="AH252">
        <f>($J$252) * (40)</f>
        <v>0</v>
      </c>
      <c r="AI252">
        <f>($K$252) * (225)</f>
        <v>0</v>
      </c>
      <c r="AJ252">
        <f>($L$252) * (40)</f>
        <v>0</v>
      </c>
      <c r="AK252">
        <f>($M$252) * (40)</f>
        <v>0</v>
      </c>
      <c r="AL252">
        <f>($N$252) * (225)</f>
        <v>0</v>
      </c>
      <c r="AM252">
        <f>($O$252) * (225)</f>
        <v>0</v>
      </c>
      <c r="AN252">
        <f>($P$252) * (40)</f>
        <v>0</v>
      </c>
      <c r="AO252">
        <f>($Q$252) * (40)</f>
        <v>0</v>
      </c>
      <c r="AP252">
        <f>($R$252) * (225)</f>
        <v>0</v>
      </c>
      <c r="AQ252">
        <f>($S$252) * (40)</f>
        <v>0</v>
      </c>
      <c r="AR252">
        <f>($T$252) * (40)</f>
        <v>0</v>
      </c>
      <c r="AS252">
        <f>($U$252) * (225)</f>
        <v>0</v>
      </c>
      <c r="AT252">
        <f>($V$252) * (40)</f>
        <v>0</v>
      </c>
      <c r="AU252">
        <f>($W$252) * (40)</f>
        <v>0</v>
      </c>
      <c r="AV252">
        <f>($X$252) * (225)</f>
        <v>0</v>
      </c>
      <c r="AW252">
        <f>($Y$252) * (40)</f>
        <v>0</v>
      </c>
      <c r="AX252">
        <f>($Z$252) * (225)</f>
        <v>0</v>
      </c>
      <c r="AY252">
        <f>($AA$252) * (40)</f>
        <v>0</v>
      </c>
      <c r="AZ252">
        <f>($AB$252) * (275)</f>
        <v>0</v>
      </c>
      <c r="BA252">
        <f>($AC$252) * (90)</f>
        <v>0</v>
      </c>
      <c r="BB252">
        <f>($AD$252) * (325)</f>
        <v>0</v>
      </c>
      <c r="BC252">
        <f>($AE$252) * (375)</f>
        <v>0</v>
      </c>
      <c r="BO252">
        <v>1</v>
      </c>
      <c r="BP252">
        <f>SUM($U$252:$Z$252)</f>
        <v>0</v>
      </c>
    </row>
    <row r="253" spans="1:68" x14ac:dyDescent="0.25">
      <c r="A253">
        <v>247</v>
      </c>
      <c r="B253">
        <v>2</v>
      </c>
      <c r="C253">
        <v>9200</v>
      </c>
      <c r="D253">
        <v>5</v>
      </c>
      <c r="E253">
        <v>10</v>
      </c>
      <c r="F253" t="s">
        <v>7</v>
      </c>
      <c r="G253">
        <v>2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f>($H$253) * (225)</f>
        <v>0</v>
      </c>
      <c r="AG253">
        <f>($I$253) * (80)</f>
        <v>0</v>
      </c>
      <c r="AH253">
        <f>($J$253) * (80)</f>
        <v>0</v>
      </c>
      <c r="AI253">
        <f>($K$253) * (225)</f>
        <v>0</v>
      </c>
      <c r="AJ253">
        <f>($L$253) * (80)</f>
        <v>0</v>
      </c>
      <c r="AK253">
        <f>($M$253) * (80)</f>
        <v>0</v>
      </c>
      <c r="AL253">
        <f>($N$253) * (225)</f>
        <v>0</v>
      </c>
      <c r="AM253">
        <f>($O$253) * (225)</f>
        <v>0</v>
      </c>
      <c r="AN253">
        <f>($P$253) * (80)</f>
        <v>0</v>
      </c>
      <c r="AO253">
        <f>($Q$253) * (80)</f>
        <v>0</v>
      </c>
      <c r="AP253">
        <f>($R$253) * (225)</f>
        <v>0</v>
      </c>
      <c r="AQ253">
        <f>($S$253) * (80)</f>
        <v>0</v>
      </c>
      <c r="AR253">
        <f>($T$253) * (80)</f>
        <v>0</v>
      </c>
      <c r="AS253">
        <f>($U$253) * (225)</f>
        <v>0</v>
      </c>
      <c r="AT253">
        <f>($V$253) * (80)</f>
        <v>0</v>
      </c>
      <c r="AU253">
        <f>($W$253) * (80)</f>
        <v>0</v>
      </c>
      <c r="AV253">
        <f>($X$253) * (295)</f>
        <v>0</v>
      </c>
      <c r="AW253">
        <f>($Y$253) * (150)</f>
        <v>0</v>
      </c>
      <c r="AX253">
        <f>($Z$253) * (365)</f>
        <v>0</v>
      </c>
      <c r="AY253">
        <f>($AA$253) * (220)</f>
        <v>0</v>
      </c>
      <c r="AZ253">
        <f>($AB$253) * (435)</f>
        <v>0</v>
      </c>
      <c r="BA253">
        <f>($AC$253) * (290)</f>
        <v>0</v>
      </c>
      <c r="BB253">
        <f>($AD$253) * (505)</f>
        <v>0</v>
      </c>
      <c r="BC253">
        <f>($AE$253) * (575)</f>
        <v>0</v>
      </c>
      <c r="BO253">
        <v>1</v>
      </c>
      <c r="BP253">
        <f>SUM($U$253:$AD$253)</f>
        <v>0</v>
      </c>
    </row>
    <row r="254" spans="1:68" x14ac:dyDescent="0.25">
      <c r="A254">
        <v>248</v>
      </c>
      <c r="B254">
        <v>2</v>
      </c>
      <c r="C254">
        <v>9200</v>
      </c>
      <c r="D254">
        <v>1</v>
      </c>
      <c r="E254">
        <v>6</v>
      </c>
      <c r="F254" t="s">
        <v>7</v>
      </c>
      <c r="G254">
        <v>3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f>($H$254) * (225)</f>
        <v>0</v>
      </c>
      <c r="AG254">
        <f>($I$254) * (80)</f>
        <v>0</v>
      </c>
      <c r="AH254">
        <f>($J$254) * (80)</f>
        <v>0</v>
      </c>
      <c r="AI254">
        <f>($K$254) * (225)</f>
        <v>0</v>
      </c>
      <c r="AJ254">
        <f>($L$254) * (80)</f>
        <v>0</v>
      </c>
      <c r="AK254">
        <f>($M$254) * (80)</f>
        <v>0</v>
      </c>
      <c r="AL254">
        <f>($N$254) * (225)</f>
        <v>0</v>
      </c>
      <c r="AM254">
        <f>($O$254) * (295)</f>
        <v>0</v>
      </c>
      <c r="AN254">
        <f>($P$254) * (150)</f>
        <v>0</v>
      </c>
      <c r="AO254">
        <f>($Q$254) * (150)</f>
        <v>0</v>
      </c>
      <c r="AP254">
        <f>($R$254) * (365)</f>
        <v>0</v>
      </c>
      <c r="AQ254">
        <f>($S$254) * (220)</f>
        <v>0</v>
      </c>
      <c r="AR254">
        <f>($T$254) * (220)</f>
        <v>0</v>
      </c>
      <c r="AS254">
        <f>($U$254) * (435)</f>
        <v>0</v>
      </c>
      <c r="AT254">
        <f>($V$254) * (290)</f>
        <v>0</v>
      </c>
      <c r="AU254">
        <f>($W$254) * (290)</f>
        <v>0</v>
      </c>
      <c r="AV254">
        <f>($X$254) * (505)</f>
        <v>0</v>
      </c>
      <c r="AW254">
        <f>($Y$254) * (360)</f>
        <v>0</v>
      </c>
      <c r="AX254">
        <f>($Z$254) * (575)</f>
        <v>0</v>
      </c>
      <c r="AY254">
        <f>($AA$254) * (430)</f>
        <v>0</v>
      </c>
      <c r="AZ254">
        <f>($AB$254) * (645)</f>
        <v>0</v>
      </c>
      <c r="BA254">
        <f>($AC$254) * (500)</f>
        <v>0</v>
      </c>
      <c r="BB254">
        <f>($AD$254) * (715)</f>
        <v>0</v>
      </c>
      <c r="BC254">
        <f>($AE$254) * (785)</f>
        <v>0</v>
      </c>
      <c r="BO254">
        <v>1</v>
      </c>
      <c r="BP254">
        <f>SUM($K$254:$U$254)</f>
        <v>0</v>
      </c>
    </row>
    <row r="255" spans="1:68" x14ac:dyDescent="0.25">
      <c r="A255">
        <v>250</v>
      </c>
      <c r="B255">
        <v>1</v>
      </c>
      <c r="C255">
        <v>9332</v>
      </c>
      <c r="D255">
        <v>1</v>
      </c>
      <c r="E255">
        <v>4</v>
      </c>
      <c r="F255" t="s">
        <v>7</v>
      </c>
      <c r="G255">
        <v>3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f>($H$255) * (225)</f>
        <v>0</v>
      </c>
      <c r="AG255">
        <f>($I$255) * (40)</f>
        <v>0</v>
      </c>
      <c r="AH255">
        <f>($J$255) * (40)</f>
        <v>0</v>
      </c>
      <c r="AI255">
        <f>($K$255) * (225)</f>
        <v>0</v>
      </c>
      <c r="AJ255">
        <f>($L$255) * (40)</f>
        <v>0</v>
      </c>
      <c r="AK255">
        <f>($M$255) * (40)</f>
        <v>0</v>
      </c>
      <c r="AL255">
        <f>($N$255) * (225)</f>
        <v>0</v>
      </c>
      <c r="AM255">
        <f>($O$255) * (275)</f>
        <v>0</v>
      </c>
      <c r="AN255">
        <f>($P$255) * (90)</f>
        <v>0</v>
      </c>
      <c r="AO255">
        <f>($Q$255) * (90)</f>
        <v>0</v>
      </c>
      <c r="AP255">
        <f>($R$255) * (325)</f>
        <v>0</v>
      </c>
      <c r="AQ255">
        <f>($S$255) * (140)</f>
        <v>0</v>
      </c>
      <c r="AR255">
        <f>($T$255) * (140)</f>
        <v>0</v>
      </c>
      <c r="AS255">
        <f>($U$255) * (375)</f>
        <v>0</v>
      </c>
      <c r="AT255">
        <f>($V$255) * (190)</f>
        <v>0</v>
      </c>
      <c r="AU255">
        <f>($W$255) * (190)</f>
        <v>0</v>
      </c>
      <c r="AV255">
        <f>($X$255) * (425)</f>
        <v>0</v>
      </c>
      <c r="AW255">
        <f>($Y$255) * (240)</f>
        <v>0</v>
      </c>
      <c r="AX255">
        <f>($Z$255) * (475)</f>
        <v>0</v>
      </c>
      <c r="AY255">
        <f>($AA$255) * (290)</f>
        <v>0</v>
      </c>
      <c r="AZ255">
        <f>($AB$255) * (525)</f>
        <v>0</v>
      </c>
      <c r="BA255">
        <f>($AC$255) * (340)</f>
        <v>0</v>
      </c>
      <c r="BB255">
        <f>($AD$255) * (575)</f>
        <v>0</v>
      </c>
      <c r="BC255">
        <f>($AE$255) * (625)</f>
        <v>0</v>
      </c>
      <c r="BO255">
        <v>1</v>
      </c>
      <c r="BP255">
        <f>SUM($K$255:$O$255)</f>
        <v>0</v>
      </c>
    </row>
    <row r="256" spans="1:68" x14ac:dyDescent="0.25">
      <c r="A256">
        <v>252</v>
      </c>
      <c r="B256">
        <v>1</v>
      </c>
      <c r="C256">
        <v>22300</v>
      </c>
      <c r="D256">
        <v>0</v>
      </c>
      <c r="E256">
        <v>3</v>
      </c>
      <c r="F256" t="s">
        <v>7</v>
      </c>
      <c r="G256">
        <v>4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f>($H$256) * (225)</f>
        <v>0</v>
      </c>
      <c r="AG256">
        <f>($I$256) * (40)</f>
        <v>0</v>
      </c>
      <c r="AH256">
        <f>($J$256) * (40)</f>
        <v>0</v>
      </c>
      <c r="AI256">
        <f>($K$256) * (225)</f>
        <v>0</v>
      </c>
      <c r="AJ256">
        <f>($L$256) * (40)</f>
        <v>0</v>
      </c>
      <c r="AK256">
        <f>($M$256) * (40)</f>
        <v>0</v>
      </c>
      <c r="AL256">
        <f>($N$256) * (225)</f>
        <v>0</v>
      </c>
      <c r="AM256">
        <f>($O$256) * (275)</f>
        <v>0</v>
      </c>
      <c r="AN256">
        <f>($P$256) * (90)</f>
        <v>0</v>
      </c>
      <c r="AO256">
        <f>($Q$256) * (90)</f>
        <v>0</v>
      </c>
      <c r="AP256">
        <f>($R$256) * (325)</f>
        <v>0</v>
      </c>
      <c r="AQ256">
        <f>($S$256) * (140)</f>
        <v>0</v>
      </c>
      <c r="AR256">
        <f>($T$256) * (140)</f>
        <v>0</v>
      </c>
      <c r="AS256">
        <f>($U$256) * (375)</f>
        <v>0</v>
      </c>
      <c r="AT256">
        <f>($V$256) * (190)</f>
        <v>0</v>
      </c>
      <c r="AU256">
        <f>($W$256) * (190)</f>
        <v>0</v>
      </c>
      <c r="AV256">
        <f>($X$256) * (425)</f>
        <v>0</v>
      </c>
      <c r="AW256">
        <f>($Y$256) * (240)</f>
        <v>0</v>
      </c>
      <c r="AX256">
        <f>($Z$256) * (475)</f>
        <v>0</v>
      </c>
      <c r="AY256">
        <f>($AA$256) * (290)</f>
        <v>0</v>
      </c>
      <c r="AZ256">
        <f>($AB$256) * (525)</f>
        <v>0</v>
      </c>
      <c r="BA256">
        <f>($AC$256) * (340)</f>
        <v>0</v>
      </c>
      <c r="BB256">
        <f>($AD$256) * (575)</f>
        <v>0</v>
      </c>
      <c r="BC256">
        <f>($AE$256) * (625)</f>
        <v>0</v>
      </c>
      <c r="BO256">
        <v>1</v>
      </c>
      <c r="BP256">
        <f>SUM($H$256:$N$256)</f>
        <v>0</v>
      </c>
    </row>
    <row r="257" spans="1:68" x14ac:dyDescent="0.25">
      <c r="A257">
        <v>255</v>
      </c>
      <c r="B257">
        <v>2</v>
      </c>
      <c r="C257">
        <v>12370</v>
      </c>
      <c r="D257">
        <v>3</v>
      </c>
      <c r="E257">
        <v>8</v>
      </c>
      <c r="F257" t="s">
        <v>7</v>
      </c>
      <c r="G257">
        <v>3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f>($H$257) * (225)</f>
        <v>0</v>
      </c>
      <c r="AG257">
        <f>($I$257) * (80)</f>
        <v>0</v>
      </c>
      <c r="AH257">
        <f>($J$257) * (80)</f>
        <v>0</v>
      </c>
      <c r="AI257">
        <f>($K$257) * (225)</f>
        <v>0</v>
      </c>
      <c r="AJ257">
        <f>($L$257) * (80)</f>
        <v>0</v>
      </c>
      <c r="AK257">
        <f>($M$257) * (80)</f>
        <v>0</v>
      </c>
      <c r="AL257">
        <f>($N$257) * (225)</f>
        <v>0</v>
      </c>
      <c r="AM257">
        <f>($O$257) * (225)</f>
        <v>0</v>
      </c>
      <c r="AN257">
        <f>($P$257) * (80)</f>
        <v>0</v>
      </c>
      <c r="AO257">
        <f>($Q$257) * (80)</f>
        <v>0</v>
      </c>
      <c r="AP257">
        <f>($R$257) * (225)</f>
        <v>0</v>
      </c>
      <c r="AQ257">
        <f>($S$257) * (80)</f>
        <v>0</v>
      </c>
      <c r="AR257">
        <f>($T$257) * (80)</f>
        <v>0</v>
      </c>
      <c r="AS257">
        <f>($U$257) * (295)</f>
        <v>0</v>
      </c>
      <c r="AT257">
        <f>($V$257) * (150)</f>
        <v>0</v>
      </c>
      <c r="AU257">
        <f>($W$257) * (150)</f>
        <v>0</v>
      </c>
      <c r="AV257">
        <f>($X$257) * (365)</f>
        <v>0</v>
      </c>
      <c r="AW257">
        <f>($Y$257) * (220)</f>
        <v>0</v>
      </c>
      <c r="AX257">
        <f>($Z$257) * (435)</f>
        <v>0</v>
      </c>
      <c r="AY257">
        <f>($AA$257) * (290)</f>
        <v>0</v>
      </c>
      <c r="AZ257">
        <f>($AB$257) * (505)</f>
        <v>0</v>
      </c>
      <c r="BA257">
        <f>($AC$257) * (360)</f>
        <v>0</v>
      </c>
      <c r="BB257">
        <f>($AD$257) * (575)</f>
        <v>0</v>
      </c>
      <c r="BC257">
        <f>($AE$257) * (645)</f>
        <v>0</v>
      </c>
      <c r="BO257">
        <v>1</v>
      </c>
      <c r="BP257">
        <f>SUM($O$257:$Z$257)</f>
        <v>0</v>
      </c>
    </row>
    <row r="258" spans="1:68" x14ac:dyDescent="0.25">
      <c r="A258">
        <v>256</v>
      </c>
      <c r="B258">
        <v>1</v>
      </c>
      <c r="C258">
        <v>27750</v>
      </c>
      <c r="D258">
        <v>2</v>
      </c>
      <c r="E258">
        <v>7</v>
      </c>
      <c r="F258" t="s">
        <v>7</v>
      </c>
      <c r="G258">
        <v>4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f>($H$258) * (225)</f>
        <v>0</v>
      </c>
      <c r="AG258">
        <f>($I$258) * (40)</f>
        <v>0</v>
      </c>
      <c r="AH258">
        <f>($J$258) * (40)</f>
        <v>0</v>
      </c>
      <c r="AI258">
        <f>($K$258) * (225)</f>
        <v>0</v>
      </c>
      <c r="AJ258">
        <f>($L$258) * (40)</f>
        <v>0</v>
      </c>
      <c r="AK258">
        <f>($M$258) * (40)</f>
        <v>0</v>
      </c>
      <c r="AL258">
        <f>($N$258) * (225)</f>
        <v>0</v>
      </c>
      <c r="AM258">
        <f>($O$258) * (225)</f>
        <v>0</v>
      </c>
      <c r="AN258">
        <f>($P$258) * (40)</f>
        <v>0</v>
      </c>
      <c r="AO258">
        <f>($Q$258) * (40)</f>
        <v>0</v>
      </c>
      <c r="AP258">
        <f>($R$258) * (225)</f>
        <v>0</v>
      </c>
      <c r="AQ258">
        <f>($S$258) * (40)</f>
        <v>0</v>
      </c>
      <c r="AR258">
        <f>($T$258) * (40)</f>
        <v>0</v>
      </c>
      <c r="AS258">
        <f>($U$258) * (275)</f>
        <v>0</v>
      </c>
      <c r="AT258">
        <f>($V$258) * (90)</f>
        <v>0</v>
      </c>
      <c r="AU258">
        <f>($W$258) * (90)</f>
        <v>0</v>
      </c>
      <c r="AV258">
        <f>($X$258) * (325)</f>
        <v>0</v>
      </c>
      <c r="AW258">
        <f>($Y$258) * (140)</f>
        <v>0</v>
      </c>
      <c r="AX258">
        <f>($Z$258) * (375)</f>
        <v>0</v>
      </c>
      <c r="AY258">
        <f>($AA$258) * (190)</f>
        <v>0</v>
      </c>
      <c r="AZ258">
        <f>($AB$258) * (425)</f>
        <v>0</v>
      </c>
      <c r="BA258">
        <f>($AC$258) * (240)</f>
        <v>0</v>
      </c>
      <c r="BB258">
        <f>($AD$258) * (475)</f>
        <v>0</v>
      </c>
      <c r="BC258">
        <f>($AE$258) * (525)</f>
        <v>0</v>
      </c>
      <c r="BO258">
        <v>1</v>
      </c>
      <c r="BP258">
        <f>SUM($N$258:$X$258)</f>
        <v>0</v>
      </c>
    </row>
    <row r="259" spans="1:68" x14ac:dyDescent="0.25">
      <c r="A259">
        <v>258</v>
      </c>
      <c r="B259">
        <v>2</v>
      </c>
      <c r="C259">
        <v>19200</v>
      </c>
      <c r="D259">
        <v>5</v>
      </c>
      <c r="E259">
        <v>10</v>
      </c>
      <c r="F259" t="s">
        <v>7</v>
      </c>
      <c r="G259">
        <v>4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f>($H$259) * (225)</f>
        <v>0</v>
      </c>
      <c r="AG259">
        <f>($I$259) * (80)</f>
        <v>0</v>
      </c>
      <c r="AH259">
        <f>($J$259) * (80)</f>
        <v>0</v>
      </c>
      <c r="AI259">
        <f>($K$259) * (225)</f>
        <v>0</v>
      </c>
      <c r="AJ259">
        <f>($L$259) * (80)</f>
        <v>0</v>
      </c>
      <c r="AK259">
        <f>($M$259) * (80)</f>
        <v>0</v>
      </c>
      <c r="AL259">
        <f>($N$259) * (225)</f>
        <v>0</v>
      </c>
      <c r="AM259">
        <f>($O$259) * (225)</f>
        <v>0</v>
      </c>
      <c r="AN259">
        <f>($P$259) * (80)</f>
        <v>0</v>
      </c>
      <c r="AO259">
        <f>($Q$259) * (80)</f>
        <v>0</v>
      </c>
      <c r="AP259">
        <f>($R$259) * (225)</f>
        <v>0</v>
      </c>
      <c r="AQ259">
        <f>($S$259) * (80)</f>
        <v>0</v>
      </c>
      <c r="AR259">
        <f>($T$259) * (80)</f>
        <v>0</v>
      </c>
      <c r="AS259">
        <f>($U$259) * (225)</f>
        <v>0</v>
      </c>
      <c r="AT259">
        <f>($V$259) * (80)</f>
        <v>0</v>
      </c>
      <c r="AU259">
        <f>($W$259) * (80)</f>
        <v>0</v>
      </c>
      <c r="AV259">
        <f>($X$259) * (225)</f>
        <v>0</v>
      </c>
      <c r="AW259">
        <f>($Y$259) * (80)</f>
        <v>0</v>
      </c>
      <c r="AX259">
        <f>($Z$259) * (225)</f>
        <v>0</v>
      </c>
      <c r="AY259">
        <f>($AA$259) * (80)</f>
        <v>0</v>
      </c>
      <c r="AZ259">
        <f>($AB$259) * (295)</f>
        <v>0</v>
      </c>
      <c r="BA259">
        <f>($AC$259) * (150)</f>
        <v>0</v>
      </c>
      <c r="BB259">
        <f>($AD$259) * (365)</f>
        <v>0</v>
      </c>
      <c r="BC259">
        <f>($AE$259) * (435)</f>
        <v>0</v>
      </c>
      <c r="BO259">
        <v>1</v>
      </c>
      <c r="BP259">
        <f>SUM($U$259:$AD$259)</f>
        <v>0</v>
      </c>
    </row>
    <row r="260" spans="1:68" x14ac:dyDescent="0.25">
      <c r="A260">
        <v>259</v>
      </c>
      <c r="B260">
        <v>2</v>
      </c>
      <c r="C260">
        <v>24200</v>
      </c>
      <c r="D260">
        <v>0</v>
      </c>
      <c r="E260">
        <v>4</v>
      </c>
      <c r="F260" t="s">
        <v>7</v>
      </c>
      <c r="G260">
        <v>3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f>($H$260) * (225)</f>
        <v>0</v>
      </c>
      <c r="AG260">
        <f>($I$260) * (80)</f>
        <v>0</v>
      </c>
      <c r="AH260">
        <f>($J$260) * (80)</f>
        <v>0</v>
      </c>
      <c r="AI260">
        <f>($K$260) * (225)</f>
        <v>0</v>
      </c>
      <c r="AJ260">
        <f>($L$260) * (80)</f>
        <v>0</v>
      </c>
      <c r="AK260">
        <f>($M$260) * (80)</f>
        <v>0</v>
      </c>
      <c r="AL260">
        <f>($N$260) * (295)</f>
        <v>0</v>
      </c>
      <c r="AM260">
        <f>($O$260) * (365)</f>
        <v>0</v>
      </c>
      <c r="AN260">
        <f>($P$260) * (220)</f>
        <v>0</v>
      </c>
      <c r="AO260">
        <f>($Q$260) * (220)</f>
        <v>0</v>
      </c>
      <c r="AP260">
        <f>($R$260) * (435)</f>
        <v>0</v>
      </c>
      <c r="AQ260">
        <f>($S$260) * (290)</f>
        <v>0</v>
      </c>
      <c r="AR260">
        <f>($T$260) * (290)</f>
        <v>0</v>
      </c>
      <c r="AS260">
        <f>($U$260) * (505)</f>
        <v>0</v>
      </c>
      <c r="AT260">
        <f>($V$260) * (360)</f>
        <v>0</v>
      </c>
      <c r="AU260">
        <f>($W$260) * (360)</f>
        <v>0</v>
      </c>
      <c r="AV260">
        <f>($X$260) * (575)</f>
        <v>0</v>
      </c>
      <c r="AW260">
        <f>($Y$260) * (430)</f>
        <v>0</v>
      </c>
      <c r="AX260">
        <f>($Z$260) * (645)</f>
        <v>0</v>
      </c>
      <c r="AY260">
        <f>($AA$260) * (500)</f>
        <v>0</v>
      </c>
      <c r="AZ260">
        <f>($AB$260) * (715)</f>
        <v>0</v>
      </c>
      <c r="BA260">
        <f>($AC$260) * (570)</f>
        <v>0</v>
      </c>
      <c r="BB260">
        <f>($AD$260) * (785)</f>
        <v>0</v>
      </c>
      <c r="BC260">
        <f>($AE$260) * (855)</f>
        <v>0</v>
      </c>
      <c r="BO260">
        <v>1</v>
      </c>
      <c r="BP260">
        <f>SUM($H$260:$O$260)</f>
        <v>0</v>
      </c>
    </row>
    <row r="261" spans="1:68" x14ac:dyDescent="0.25">
      <c r="A261">
        <v>261</v>
      </c>
      <c r="B261">
        <v>1</v>
      </c>
      <c r="C261">
        <v>22300</v>
      </c>
      <c r="D261">
        <v>5</v>
      </c>
      <c r="E261">
        <v>8</v>
      </c>
      <c r="F261" t="s">
        <v>7</v>
      </c>
      <c r="G261">
        <v>3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f>($H$261) * (225)</f>
        <v>0</v>
      </c>
      <c r="AG261">
        <f>($I$261) * (40)</f>
        <v>0</v>
      </c>
      <c r="AH261">
        <f>($J$261) * (40)</f>
        <v>0</v>
      </c>
      <c r="AI261">
        <f>($K$261) * (225)</f>
        <v>0</v>
      </c>
      <c r="AJ261">
        <f>($L$261) * (40)</f>
        <v>0</v>
      </c>
      <c r="AK261">
        <f>($M$261) * (40)</f>
        <v>0</v>
      </c>
      <c r="AL261">
        <f>($N$261) * (225)</f>
        <v>0</v>
      </c>
      <c r="AM261">
        <f>($O$261) * (225)</f>
        <v>0</v>
      </c>
      <c r="AN261">
        <f>($P$261) * (40)</f>
        <v>0</v>
      </c>
      <c r="AO261">
        <f>($Q$261) * (40)</f>
        <v>0</v>
      </c>
      <c r="AP261">
        <f>($R$261) * (225)</f>
        <v>0</v>
      </c>
      <c r="AQ261">
        <f>($S$261) * (40)</f>
        <v>0</v>
      </c>
      <c r="AR261">
        <f>($T$261) * (40)</f>
        <v>0</v>
      </c>
      <c r="AS261">
        <f>($U$261) * (225)</f>
        <v>0</v>
      </c>
      <c r="AT261">
        <f>($V$261) * (40)</f>
        <v>0</v>
      </c>
      <c r="AU261">
        <f>($W$261) * (40)</f>
        <v>0</v>
      </c>
      <c r="AV261">
        <f>($X$261) * (225)</f>
        <v>0</v>
      </c>
      <c r="AW261">
        <f>($Y$261) * (40)</f>
        <v>0</v>
      </c>
      <c r="AX261">
        <f>($Z$261) * (275)</f>
        <v>0</v>
      </c>
      <c r="AY261">
        <f>($AA$261) * (90)</f>
        <v>0</v>
      </c>
      <c r="AZ261">
        <f>($AB$261) * (325)</f>
        <v>0</v>
      </c>
      <c r="BA261">
        <f>($AC$261) * (140)</f>
        <v>0</v>
      </c>
      <c r="BB261">
        <f>($AD$261) * (375)</f>
        <v>0</v>
      </c>
      <c r="BC261">
        <f>($AE$261) * (425)</f>
        <v>0</v>
      </c>
      <c r="BO261">
        <v>1</v>
      </c>
      <c r="BP261">
        <f>SUM($U$261:$Z$261)</f>
        <v>0</v>
      </c>
    </row>
    <row r="262" spans="1:68" x14ac:dyDescent="0.25">
      <c r="A262">
        <v>264</v>
      </c>
      <c r="B262">
        <v>2</v>
      </c>
      <c r="C262">
        <v>10254</v>
      </c>
      <c r="D262">
        <v>2</v>
      </c>
      <c r="E262">
        <v>6</v>
      </c>
      <c r="F262" t="s">
        <v>7</v>
      </c>
      <c r="G262">
        <v>2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f>($H$262) * (225)</f>
        <v>0</v>
      </c>
      <c r="AG262">
        <f>($I$262) * (80)</f>
        <v>0</v>
      </c>
      <c r="AH262">
        <f>($J$262) * (80)</f>
        <v>0</v>
      </c>
      <c r="AI262">
        <f>($K$262) * (225)</f>
        <v>0</v>
      </c>
      <c r="AJ262">
        <f>($L$262) * (80)</f>
        <v>0</v>
      </c>
      <c r="AK262">
        <f>($M$262) * (80)</f>
        <v>0</v>
      </c>
      <c r="AL262">
        <f>($N$262) * (225)</f>
        <v>0</v>
      </c>
      <c r="AM262">
        <f>($O$262) * (295)</f>
        <v>0</v>
      </c>
      <c r="AN262">
        <f>($P$262) * (150)</f>
        <v>0</v>
      </c>
      <c r="AO262">
        <f>($Q$262) * (150)</f>
        <v>0</v>
      </c>
      <c r="AP262">
        <f>($R$262) * (365)</f>
        <v>0</v>
      </c>
      <c r="AQ262">
        <f>($S$262) * (220)</f>
        <v>0</v>
      </c>
      <c r="AR262">
        <f>($T$262) * (220)</f>
        <v>0</v>
      </c>
      <c r="AS262">
        <f>($U$262) * (435)</f>
        <v>0</v>
      </c>
      <c r="AT262">
        <f>($V$262) * (290)</f>
        <v>0</v>
      </c>
      <c r="AU262">
        <f>($W$262) * (290)</f>
        <v>0</v>
      </c>
      <c r="AV262">
        <f>($X$262) * (505)</f>
        <v>0</v>
      </c>
      <c r="AW262">
        <f>($Y$262) * (360)</f>
        <v>0</v>
      </c>
      <c r="AX262">
        <f>($Z$262) * (575)</f>
        <v>0</v>
      </c>
      <c r="AY262">
        <f>($AA$262) * (430)</f>
        <v>0</v>
      </c>
      <c r="AZ262">
        <f>($AB$262) * (645)</f>
        <v>0</v>
      </c>
      <c r="BA262">
        <f>($AC$262) * (500)</f>
        <v>0</v>
      </c>
      <c r="BB262">
        <f>($AD$262) * (715)</f>
        <v>0</v>
      </c>
      <c r="BC262">
        <f>($AE$262) * (785)</f>
        <v>0</v>
      </c>
      <c r="BO262">
        <v>1</v>
      </c>
      <c r="BP262">
        <f>SUM($N$262:$U$262)</f>
        <v>0</v>
      </c>
    </row>
    <row r="263" spans="1:68" x14ac:dyDescent="0.25">
      <c r="A263">
        <v>266</v>
      </c>
      <c r="B263">
        <v>2</v>
      </c>
      <c r="C263">
        <v>15200</v>
      </c>
      <c r="D263">
        <v>5</v>
      </c>
      <c r="E263">
        <v>8</v>
      </c>
      <c r="F263" t="s">
        <v>7</v>
      </c>
      <c r="G263">
        <v>4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f>($H$263) * (225)</f>
        <v>0</v>
      </c>
      <c r="AG263">
        <f>($I$263) * (80)</f>
        <v>0</v>
      </c>
      <c r="AH263">
        <f>($J$263) * (80)</f>
        <v>0</v>
      </c>
      <c r="AI263">
        <f>($K$263) * (225)</f>
        <v>0</v>
      </c>
      <c r="AJ263">
        <f>($L$263) * (80)</f>
        <v>0</v>
      </c>
      <c r="AK263">
        <f>($M$263) * (80)</f>
        <v>0</v>
      </c>
      <c r="AL263">
        <f>($N$263) * (225)</f>
        <v>0</v>
      </c>
      <c r="AM263">
        <f>($O$263) * (225)</f>
        <v>0</v>
      </c>
      <c r="AN263">
        <f>($P$263) * (80)</f>
        <v>0</v>
      </c>
      <c r="AO263">
        <f>($Q$263) * (80)</f>
        <v>0</v>
      </c>
      <c r="AP263">
        <f>($R$263) * (225)</f>
        <v>0</v>
      </c>
      <c r="AQ263">
        <f>($S$263) * (80)</f>
        <v>0</v>
      </c>
      <c r="AR263">
        <f>($T$263) * (80)</f>
        <v>0</v>
      </c>
      <c r="AS263">
        <f>($U$263) * (225)</f>
        <v>0</v>
      </c>
      <c r="AT263">
        <f>($V$263) * (80)</f>
        <v>0</v>
      </c>
      <c r="AU263">
        <f>($W$263) * (80)</f>
        <v>0</v>
      </c>
      <c r="AV263">
        <f>($X$263) * (225)</f>
        <v>0</v>
      </c>
      <c r="AW263">
        <f>($Y$263) * (80)</f>
        <v>0</v>
      </c>
      <c r="AX263">
        <f>($Z$263) * (225)</f>
        <v>0</v>
      </c>
      <c r="AY263">
        <f>($AA$263) * (80)</f>
        <v>0</v>
      </c>
      <c r="AZ263">
        <f>($AB$263) * (295)</f>
        <v>0</v>
      </c>
      <c r="BA263">
        <f>($AC$263) * (150)</f>
        <v>0</v>
      </c>
      <c r="BB263">
        <f>($AD$263) * (365)</f>
        <v>0</v>
      </c>
      <c r="BC263">
        <f>($AE$263) * (435)</f>
        <v>0</v>
      </c>
      <c r="BO263">
        <v>1</v>
      </c>
      <c r="BP263">
        <f>SUM($U$263:$Z$263)</f>
        <v>0</v>
      </c>
    </row>
    <row r="264" spans="1:68" x14ac:dyDescent="0.25">
      <c r="A264">
        <v>271</v>
      </c>
      <c r="B264">
        <v>2</v>
      </c>
      <c r="C264">
        <v>11700</v>
      </c>
      <c r="D264">
        <v>4</v>
      </c>
      <c r="E264">
        <v>8</v>
      </c>
      <c r="F264" t="s">
        <v>7</v>
      </c>
      <c r="G264">
        <v>3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f>($H$264) * (225)</f>
        <v>0</v>
      </c>
      <c r="AG264">
        <f>($I$264) * (80)</f>
        <v>0</v>
      </c>
      <c r="AH264">
        <f>($J$264) * (80)</f>
        <v>0</v>
      </c>
      <c r="AI264">
        <f>($K$264) * (225)</f>
        <v>0</v>
      </c>
      <c r="AJ264">
        <f>($L$264) * (80)</f>
        <v>0</v>
      </c>
      <c r="AK264">
        <f>($M$264) * (80)</f>
        <v>0</v>
      </c>
      <c r="AL264">
        <f>($N$264) * (225)</f>
        <v>0</v>
      </c>
      <c r="AM264">
        <f>($O$264) * (225)</f>
        <v>0</v>
      </c>
      <c r="AN264">
        <f>($P$264) * (80)</f>
        <v>0</v>
      </c>
      <c r="AO264">
        <f>($Q$264) * (80)</f>
        <v>0</v>
      </c>
      <c r="AP264">
        <f>($R$264) * (225)</f>
        <v>0</v>
      </c>
      <c r="AQ264">
        <f>($S$264) * (80)</f>
        <v>0</v>
      </c>
      <c r="AR264">
        <f>($T$264) * (80)</f>
        <v>0</v>
      </c>
      <c r="AS264">
        <f>($U$264) * (225)</f>
        <v>0</v>
      </c>
      <c r="AT264">
        <f>($V$264) * (80)</f>
        <v>0</v>
      </c>
      <c r="AU264">
        <f>($W$264) * (80)</f>
        <v>0</v>
      </c>
      <c r="AV264">
        <f>($X$264) * (295)</f>
        <v>0</v>
      </c>
      <c r="AW264">
        <f>($Y$264) * (150)</f>
        <v>0</v>
      </c>
      <c r="AX264">
        <f>($Z$264) * (365)</f>
        <v>0</v>
      </c>
      <c r="AY264">
        <f>($AA$264) * (220)</f>
        <v>0</v>
      </c>
      <c r="AZ264">
        <f>($AB$264) * (435)</f>
        <v>0</v>
      </c>
      <c r="BA264">
        <f>($AC$264) * (290)</f>
        <v>0</v>
      </c>
      <c r="BB264">
        <f>($AD$264) * (505)</f>
        <v>0</v>
      </c>
      <c r="BC264">
        <f>($AE$264) * (575)</f>
        <v>0</v>
      </c>
      <c r="BO264">
        <v>1</v>
      </c>
      <c r="BP264">
        <f>SUM($R$264:$Z$264)</f>
        <v>0</v>
      </c>
    </row>
    <row r="265" spans="1:68" x14ac:dyDescent="0.25">
      <c r="A265">
        <v>277</v>
      </c>
      <c r="B265">
        <v>2</v>
      </c>
      <c r="C265">
        <v>14200</v>
      </c>
      <c r="D265">
        <v>2</v>
      </c>
      <c r="E265">
        <v>6</v>
      </c>
      <c r="F265" t="s">
        <v>7</v>
      </c>
      <c r="G265">
        <v>4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f>($H$265) * (225)</f>
        <v>0</v>
      </c>
      <c r="AG265">
        <f>($I$265) * (80)</f>
        <v>0</v>
      </c>
      <c r="AH265">
        <f>($J$265) * (80)</f>
        <v>0</v>
      </c>
      <c r="AI265">
        <f>($K$265) * (225)</f>
        <v>0</v>
      </c>
      <c r="AJ265">
        <f>($L$265) * (80)</f>
        <v>0</v>
      </c>
      <c r="AK265">
        <f>($M$265) * (80)</f>
        <v>0</v>
      </c>
      <c r="AL265">
        <f>($N$265) * (225)</f>
        <v>0</v>
      </c>
      <c r="AM265">
        <f>($O$265) * (225)</f>
        <v>0</v>
      </c>
      <c r="AN265">
        <f>($P$265) * (80)</f>
        <v>0</v>
      </c>
      <c r="AO265">
        <f>($Q$265) * (80)</f>
        <v>0</v>
      </c>
      <c r="AP265">
        <f>($R$265) * (225)</f>
        <v>0</v>
      </c>
      <c r="AQ265">
        <f>($S$265) * (80)</f>
        <v>0</v>
      </c>
      <c r="AR265">
        <f>($T$265) * (80)</f>
        <v>0</v>
      </c>
      <c r="AS265">
        <f>($U$265) * (295)</f>
        <v>0</v>
      </c>
      <c r="AT265">
        <f>($V$265) * (150)</f>
        <v>0</v>
      </c>
      <c r="AU265">
        <f>($W$265) * (150)</f>
        <v>0</v>
      </c>
      <c r="AV265">
        <f>($X$265) * (365)</f>
        <v>0</v>
      </c>
      <c r="AW265">
        <f>($Y$265) * (220)</f>
        <v>0</v>
      </c>
      <c r="AX265">
        <f>($Z$265) * (435)</f>
        <v>0</v>
      </c>
      <c r="AY265">
        <f>($AA$265) * (290)</f>
        <v>0</v>
      </c>
      <c r="AZ265">
        <f>($AB$265) * (505)</f>
        <v>0</v>
      </c>
      <c r="BA265">
        <f>($AC$265) * (360)</f>
        <v>0</v>
      </c>
      <c r="BB265">
        <f>($AD$265) * (575)</f>
        <v>0</v>
      </c>
      <c r="BC265">
        <f>($AE$265) * (645)</f>
        <v>0</v>
      </c>
      <c r="BO265">
        <v>1</v>
      </c>
      <c r="BP265">
        <f>SUM($N$265:$U$265)</f>
        <v>0</v>
      </c>
    </row>
    <row r="266" spans="1:68" x14ac:dyDescent="0.25">
      <c r="A266">
        <v>279</v>
      </c>
      <c r="B266">
        <v>2</v>
      </c>
      <c r="C266">
        <v>14200</v>
      </c>
      <c r="D266">
        <v>-1</v>
      </c>
      <c r="E266">
        <v>3</v>
      </c>
      <c r="F266" t="s">
        <v>7</v>
      </c>
      <c r="G266">
        <v>4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f>($H$266) * (225)</f>
        <v>0</v>
      </c>
      <c r="AG266">
        <f>($I$266) * (80)</f>
        <v>0</v>
      </c>
      <c r="AH266">
        <f>($J$266) * (80)</f>
        <v>0</v>
      </c>
      <c r="AI266">
        <f>($K$266) * (225)</f>
        <v>0</v>
      </c>
      <c r="AJ266">
        <f>($L$266) * (80)</f>
        <v>0</v>
      </c>
      <c r="AK266">
        <f>($M$266) * (80)</f>
        <v>0</v>
      </c>
      <c r="AL266">
        <f>($N$266) * (295)</f>
        <v>0</v>
      </c>
      <c r="AM266">
        <f>($O$266) * (365)</f>
        <v>0</v>
      </c>
      <c r="AN266">
        <f>($P$266) * (220)</f>
        <v>0</v>
      </c>
      <c r="AO266">
        <f>($Q$266) * (220)</f>
        <v>0</v>
      </c>
      <c r="AP266">
        <f>($R$266) * (435)</f>
        <v>0</v>
      </c>
      <c r="AQ266">
        <f>($S$266) * (290)</f>
        <v>0</v>
      </c>
      <c r="AR266">
        <f>($T$266) * (290)</f>
        <v>0</v>
      </c>
      <c r="AS266">
        <f>($U$266) * (505)</f>
        <v>0</v>
      </c>
      <c r="AT266">
        <f>($V$266) * (360)</f>
        <v>0</v>
      </c>
      <c r="AU266">
        <f>($W$266) * (360)</f>
        <v>0</v>
      </c>
      <c r="AV266">
        <f>($X$266) * (575)</f>
        <v>0</v>
      </c>
      <c r="AW266">
        <f>($Y$266) * (430)</f>
        <v>0</v>
      </c>
      <c r="AX266">
        <f>($Z$266) * (645)</f>
        <v>0</v>
      </c>
      <c r="AY266">
        <f>($AA$266) * (500)</f>
        <v>0</v>
      </c>
      <c r="AZ266">
        <f>($AB$266) * (715)</f>
        <v>0</v>
      </c>
      <c r="BA266">
        <f>($AC$266) * (570)</f>
        <v>0</v>
      </c>
      <c r="BB266">
        <f>($AD$266) * (785)</f>
        <v>0</v>
      </c>
      <c r="BC266">
        <f>($AE$266) * (855)</f>
        <v>0</v>
      </c>
      <c r="BO266">
        <v>1</v>
      </c>
      <c r="BP266">
        <f>SUM($H$266:$N$266)</f>
        <v>0</v>
      </c>
    </row>
    <row r="267" spans="1:68" x14ac:dyDescent="0.25">
      <c r="A267">
        <v>282</v>
      </c>
      <c r="B267">
        <v>2</v>
      </c>
      <c r="C267">
        <v>14200</v>
      </c>
      <c r="D267">
        <v>-1</v>
      </c>
      <c r="E267">
        <v>3</v>
      </c>
      <c r="F267" t="s">
        <v>7</v>
      </c>
      <c r="G267">
        <v>4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f>($H$267) * (225)</f>
        <v>0</v>
      </c>
      <c r="AG267">
        <f>($I$267) * (80)</f>
        <v>0</v>
      </c>
      <c r="AH267">
        <f>($J$267) * (80)</f>
        <v>0</v>
      </c>
      <c r="AI267">
        <f>($K$267) * (225)</f>
        <v>0</v>
      </c>
      <c r="AJ267">
        <f>($L$267) * (80)</f>
        <v>0</v>
      </c>
      <c r="AK267">
        <f>($M$267) * (80)</f>
        <v>0</v>
      </c>
      <c r="AL267">
        <f>($N$267) * (295)</f>
        <v>0</v>
      </c>
      <c r="AM267">
        <f>($O$267) * (365)</f>
        <v>0</v>
      </c>
      <c r="AN267">
        <f>($P$267) * (220)</f>
        <v>0</v>
      </c>
      <c r="AO267">
        <f>($Q$267) * (220)</f>
        <v>0</v>
      </c>
      <c r="AP267">
        <f>($R$267) * (435)</f>
        <v>0</v>
      </c>
      <c r="AQ267">
        <f>($S$267) * (290)</f>
        <v>0</v>
      </c>
      <c r="AR267">
        <f>($T$267) * (290)</f>
        <v>0</v>
      </c>
      <c r="AS267">
        <f>($U$267) * (505)</f>
        <v>0</v>
      </c>
      <c r="AT267">
        <f>($V$267) * (360)</f>
        <v>0</v>
      </c>
      <c r="AU267">
        <f>($W$267) * (360)</f>
        <v>0</v>
      </c>
      <c r="AV267">
        <f>($X$267) * (575)</f>
        <v>0</v>
      </c>
      <c r="AW267">
        <f>($Y$267) * (430)</f>
        <v>0</v>
      </c>
      <c r="AX267">
        <f>($Z$267) * (645)</f>
        <v>0</v>
      </c>
      <c r="AY267">
        <f>($AA$267) * (500)</f>
        <v>0</v>
      </c>
      <c r="AZ267">
        <f>($AB$267) * (715)</f>
        <v>0</v>
      </c>
      <c r="BA267">
        <f>($AC$267) * (570)</f>
        <v>0</v>
      </c>
      <c r="BB267">
        <f>($AD$267) * (785)</f>
        <v>0</v>
      </c>
      <c r="BC267">
        <f>($AE$267) * (855)</f>
        <v>0</v>
      </c>
      <c r="BO267">
        <v>1</v>
      </c>
      <c r="BP267">
        <f>SUM($H$267:$N$267)</f>
        <v>0</v>
      </c>
    </row>
    <row r="268" spans="1:68" x14ac:dyDescent="0.25">
      <c r="A268">
        <v>285</v>
      </c>
      <c r="B268">
        <v>2</v>
      </c>
      <c r="C268">
        <v>7588</v>
      </c>
      <c r="D268">
        <v>4</v>
      </c>
      <c r="E268">
        <v>9</v>
      </c>
      <c r="F268" t="s">
        <v>7</v>
      </c>
      <c r="G268">
        <v>3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f>($H$268) * (225)</f>
        <v>0</v>
      </c>
      <c r="AG268">
        <f>($I$268) * (80)</f>
        <v>0</v>
      </c>
      <c r="AH268">
        <f>($J$268) * (80)</f>
        <v>0</v>
      </c>
      <c r="AI268">
        <f>($K$268) * (225)</f>
        <v>0</v>
      </c>
      <c r="AJ268">
        <f>($L$268) * (80)</f>
        <v>0</v>
      </c>
      <c r="AK268">
        <f>($M$268) * (80)</f>
        <v>0</v>
      </c>
      <c r="AL268">
        <f>($N$268) * (225)</f>
        <v>0</v>
      </c>
      <c r="AM268">
        <f>($O$268) * (225)</f>
        <v>0</v>
      </c>
      <c r="AN268">
        <f>($P$268) * (80)</f>
        <v>0</v>
      </c>
      <c r="AO268">
        <f>($Q$268) * (80)</f>
        <v>0</v>
      </c>
      <c r="AP268">
        <f>($R$268) * (225)</f>
        <v>0</v>
      </c>
      <c r="AQ268">
        <f>($S$268) * (80)</f>
        <v>0</v>
      </c>
      <c r="AR268">
        <f>($T$268) * (80)</f>
        <v>0</v>
      </c>
      <c r="AS268">
        <f>($U$268) * (225)</f>
        <v>0</v>
      </c>
      <c r="AT268">
        <f>($V$268) * (80)</f>
        <v>0</v>
      </c>
      <c r="AU268">
        <f>($W$268) * (80)</f>
        <v>0</v>
      </c>
      <c r="AV268">
        <f>($X$268) * (295)</f>
        <v>0</v>
      </c>
      <c r="AW268">
        <f>($Y$268) * (150)</f>
        <v>0</v>
      </c>
      <c r="AX268">
        <f>($Z$268) * (365)</f>
        <v>0</v>
      </c>
      <c r="AY268">
        <f>($AA$268) * (220)</f>
        <v>0</v>
      </c>
      <c r="AZ268">
        <f>($AB$268) * (435)</f>
        <v>0</v>
      </c>
      <c r="BA268">
        <f>($AC$268) * (290)</f>
        <v>0</v>
      </c>
      <c r="BB268">
        <f>($AD$268) * (505)</f>
        <v>0</v>
      </c>
      <c r="BC268">
        <f>($AE$268) * (575)</f>
        <v>0</v>
      </c>
      <c r="BO268">
        <v>1</v>
      </c>
      <c r="BP268">
        <f>SUM($R$268:$AB$268)</f>
        <v>0</v>
      </c>
    </row>
    <row r="269" spans="1:68" x14ac:dyDescent="0.25">
      <c r="A269">
        <v>286</v>
      </c>
      <c r="B269">
        <v>2</v>
      </c>
      <c r="C269">
        <v>14200</v>
      </c>
      <c r="D269">
        <v>5</v>
      </c>
      <c r="E269">
        <v>8</v>
      </c>
      <c r="F269" t="s">
        <v>7</v>
      </c>
      <c r="G269">
        <v>2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f>($H$269) * (225)</f>
        <v>0</v>
      </c>
      <c r="AG269">
        <f>($I$269) * (80)</f>
        <v>0</v>
      </c>
      <c r="AH269">
        <f>($J$269) * (80)</f>
        <v>0</v>
      </c>
      <c r="AI269">
        <f>($K$269) * (225)</f>
        <v>0</v>
      </c>
      <c r="AJ269">
        <f>($L$269) * (80)</f>
        <v>0</v>
      </c>
      <c r="AK269">
        <f>($M$269) * (80)</f>
        <v>0</v>
      </c>
      <c r="AL269">
        <f>($N$269) * (225)</f>
        <v>0</v>
      </c>
      <c r="AM269">
        <f>($O$269) * (225)</f>
        <v>0</v>
      </c>
      <c r="AN269">
        <f>($P$269) * (80)</f>
        <v>0</v>
      </c>
      <c r="AO269">
        <f>($Q$269) * (80)</f>
        <v>0</v>
      </c>
      <c r="AP269">
        <f>($R$269) * (225)</f>
        <v>0</v>
      </c>
      <c r="AQ269">
        <f>($S$269) * (80)</f>
        <v>0</v>
      </c>
      <c r="AR269">
        <f>($T$269) * (80)</f>
        <v>0</v>
      </c>
      <c r="AS269">
        <f>($U$269) * (225)</f>
        <v>0</v>
      </c>
      <c r="AT269">
        <f>($V$269) * (80)</f>
        <v>0</v>
      </c>
      <c r="AU269">
        <f>($W$269) * (80)</f>
        <v>0</v>
      </c>
      <c r="AV269">
        <f>($X$269) * (295)</f>
        <v>0</v>
      </c>
      <c r="AW269">
        <f>($Y$269) * (150)</f>
        <v>0</v>
      </c>
      <c r="AX269">
        <f>($Z$269) * (365)</f>
        <v>0</v>
      </c>
      <c r="AY269">
        <f>($AA$269) * (220)</f>
        <v>0</v>
      </c>
      <c r="AZ269">
        <f>($AB$269) * (435)</f>
        <v>0</v>
      </c>
      <c r="BA269">
        <f>($AC$269) * (290)</f>
        <v>0</v>
      </c>
      <c r="BB269">
        <f>($AD$269) * (505)</f>
        <v>0</v>
      </c>
      <c r="BC269">
        <f>($AE$269) * (575)</f>
        <v>0</v>
      </c>
      <c r="BO269">
        <v>1</v>
      </c>
      <c r="BP269">
        <f>SUM($U$269:$Z$269)</f>
        <v>0</v>
      </c>
    </row>
    <row r="270" spans="1:68" x14ac:dyDescent="0.25">
      <c r="A270">
        <v>287</v>
      </c>
      <c r="B270">
        <v>2</v>
      </c>
      <c r="C270">
        <v>14200</v>
      </c>
      <c r="D270">
        <v>3</v>
      </c>
      <c r="E270">
        <v>7</v>
      </c>
      <c r="F270" t="s">
        <v>7</v>
      </c>
      <c r="G270">
        <v>5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f>($H$270) * (225)</f>
        <v>0</v>
      </c>
      <c r="AG270">
        <f>($I$270) * (80)</f>
        <v>0</v>
      </c>
      <c r="AH270">
        <f>($J$270) * (80)</f>
        <v>0</v>
      </c>
      <c r="AI270">
        <f>($K$270) * (225)</f>
        <v>0</v>
      </c>
      <c r="AJ270">
        <f>($L$270) * (80)</f>
        <v>0</v>
      </c>
      <c r="AK270">
        <f>($M$270) * (80)</f>
        <v>0</v>
      </c>
      <c r="AL270">
        <f>($N$270) * (225)</f>
        <v>0</v>
      </c>
      <c r="AM270">
        <f>($O$270) * (225)</f>
        <v>0</v>
      </c>
      <c r="AN270">
        <f>($P$270) * (80)</f>
        <v>0</v>
      </c>
      <c r="AO270">
        <f>($Q$270) * (80)</f>
        <v>0</v>
      </c>
      <c r="AP270">
        <f>($R$270) * (225)</f>
        <v>0</v>
      </c>
      <c r="AQ270">
        <f>($S$270) * (80)</f>
        <v>0</v>
      </c>
      <c r="AR270">
        <f>($T$270) * (80)</f>
        <v>0</v>
      </c>
      <c r="AS270">
        <f>($U$270) * (225)</f>
        <v>0</v>
      </c>
      <c r="AT270">
        <f>($V$270) * (80)</f>
        <v>0</v>
      </c>
      <c r="AU270">
        <f>($W$270) * (80)</f>
        <v>0</v>
      </c>
      <c r="AV270">
        <f>($X$270) * (225)</f>
        <v>0</v>
      </c>
      <c r="AW270">
        <f>($Y$270) * (80)</f>
        <v>0</v>
      </c>
      <c r="AX270">
        <f>($Z$270) * (295)</f>
        <v>0</v>
      </c>
      <c r="AY270">
        <f>($AA$270) * (150)</f>
        <v>0</v>
      </c>
      <c r="AZ270">
        <f>($AB$270) * (365)</f>
        <v>0</v>
      </c>
      <c r="BA270">
        <f>($AC$270) * (220)</f>
        <v>0</v>
      </c>
      <c r="BB270">
        <f>($AD$270) * (435)</f>
        <v>0</v>
      </c>
      <c r="BC270">
        <f>($AE$270) * (505)</f>
        <v>0</v>
      </c>
      <c r="BO270">
        <v>1</v>
      </c>
      <c r="BP270">
        <f>SUM($O$270:$X$270)</f>
        <v>0</v>
      </c>
    </row>
    <row r="271" spans="1:68" x14ac:dyDescent="0.25">
      <c r="A271">
        <v>288</v>
      </c>
      <c r="B271">
        <v>2</v>
      </c>
      <c r="C271">
        <v>16226</v>
      </c>
      <c r="D271">
        <v>5</v>
      </c>
      <c r="E271">
        <v>8</v>
      </c>
      <c r="F271" t="s">
        <v>7</v>
      </c>
      <c r="G271">
        <v>4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f>($H$271) * (225)</f>
        <v>0</v>
      </c>
      <c r="AG271">
        <f>($I$271) * (80)</f>
        <v>0</v>
      </c>
      <c r="AH271">
        <f>($J$271) * (80)</f>
        <v>0</v>
      </c>
      <c r="AI271">
        <f>($K$271) * (225)</f>
        <v>0</v>
      </c>
      <c r="AJ271">
        <f>($L$271) * (80)</f>
        <v>0</v>
      </c>
      <c r="AK271">
        <f>($M$271) * (80)</f>
        <v>0</v>
      </c>
      <c r="AL271">
        <f>($N$271) * (225)</f>
        <v>0</v>
      </c>
      <c r="AM271">
        <f>($O$271) * (225)</f>
        <v>0</v>
      </c>
      <c r="AN271">
        <f>($P$271) * (80)</f>
        <v>0</v>
      </c>
      <c r="AO271">
        <f>($Q$271) * (80)</f>
        <v>0</v>
      </c>
      <c r="AP271">
        <f>($R$271) * (225)</f>
        <v>0</v>
      </c>
      <c r="AQ271">
        <f>($S$271) * (80)</f>
        <v>0</v>
      </c>
      <c r="AR271">
        <f>($T$271) * (80)</f>
        <v>0</v>
      </c>
      <c r="AS271">
        <f>($U$271) * (225)</f>
        <v>0</v>
      </c>
      <c r="AT271">
        <f>($V$271) * (80)</f>
        <v>0</v>
      </c>
      <c r="AU271">
        <f>($W$271) * (80)</f>
        <v>0</v>
      </c>
      <c r="AV271">
        <f>($X$271) * (225)</f>
        <v>0</v>
      </c>
      <c r="AW271">
        <f>($Y$271) * (80)</f>
        <v>0</v>
      </c>
      <c r="AX271">
        <f>($Z$271) * (225)</f>
        <v>0</v>
      </c>
      <c r="AY271">
        <f>($AA$271) * (80)</f>
        <v>0</v>
      </c>
      <c r="AZ271">
        <f>($AB$271) * (295)</f>
        <v>0</v>
      </c>
      <c r="BA271">
        <f>($AC$271) * (150)</f>
        <v>0</v>
      </c>
      <c r="BB271">
        <f>($AD$271) * (365)</f>
        <v>0</v>
      </c>
      <c r="BC271">
        <f>($AE$271) * (435)</f>
        <v>0</v>
      </c>
      <c r="BO271">
        <v>1</v>
      </c>
      <c r="BP271">
        <f>SUM($U$271:$Z$271)</f>
        <v>0</v>
      </c>
    </row>
    <row r="272" spans="1:68" x14ac:dyDescent="0.25">
      <c r="A272">
        <v>289</v>
      </c>
      <c r="B272">
        <v>2</v>
      </c>
      <c r="C272">
        <v>14400</v>
      </c>
      <c r="D272">
        <v>2</v>
      </c>
      <c r="E272">
        <v>5</v>
      </c>
      <c r="F272" t="s">
        <v>7</v>
      </c>
      <c r="G272">
        <v>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f>($H$272) * (225)</f>
        <v>0</v>
      </c>
      <c r="AG272">
        <f>($I$272) * (80)</f>
        <v>0</v>
      </c>
      <c r="AH272">
        <f>($J$272) * (80)</f>
        <v>0</v>
      </c>
      <c r="AI272">
        <f>($K$272) * (225)</f>
        <v>0</v>
      </c>
      <c r="AJ272">
        <f>($L$272) * (80)</f>
        <v>0</v>
      </c>
      <c r="AK272">
        <f>($M$272) * (80)</f>
        <v>0</v>
      </c>
      <c r="AL272">
        <f>($N$272) * (225)</f>
        <v>0</v>
      </c>
      <c r="AM272">
        <f>($O$272) * (225)</f>
        <v>0</v>
      </c>
      <c r="AN272">
        <f>($P$272) * (80)</f>
        <v>0</v>
      </c>
      <c r="AO272">
        <f>($Q$272) * (80)</f>
        <v>0</v>
      </c>
      <c r="AP272">
        <f>($R$272) * (225)</f>
        <v>0</v>
      </c>
      <c r="AQ272">
        <f>($S$272) * (80)</f>
        <v>0</v>
      </c>
      <c r="AR272">
        <f>($T$272) * (80)</f>
        <v>0</v>
      </c>
      <c r="AS272">
        <f>($U$272) * (295)</f>
        <v>0</v>
      </c>
      <c r="AT272">
        <f>($V$272) * (150)</f>
        <v>0</v>
      </c>
      <c r="AU272">
        <f>($W$272) * (150)</f>
        <v>0</v>
      </c>
      <c r="AV272">
        <f>($X$272) * (365)</f>
        <v>0</v>
      </c>
      <c r="AW272">
        <f>($Y$272) * (220)</f>
        <v>0</v>
      </c>
      <c r="AX272">
        <f>($Z$272) * (435)</f>
        <v>0</v>
      </c>
      <c r="AY272">
        <f>($AA$272) * (290)</f>
        <v>0</v>
      </c>
      <c r="AZ272">
        <f>($AB$272) * (505)</f>
        <v>0</v>
      </c>
      <c r="BA272">
        <f>($AC$272) * (360)</f>
        <v>0</v>
      </c>
      <c r="BB272">
        <f>($AD$272) * (575)</f>
        <v>0</v>
      </c>
      <c r="BC272">
        <f>($AE$272) * (645)</f>
        <v>0</v>
      </c>
      <c r="BO272">
        <v>1</v>
      </c>
      <c r="BP272">
        <f>SUM($N$272:$R$272)</f>
        <v>0</v>
      </c>
    </row>
    <row r="273" spans="1:68" x14ac:dyDescent="0.25">
      <c r="A273">
        <v>290</v>
      </c>
      <c r="B273">
        <v>2</v>
      </c>
      <c r="C273">
        <v>14088</v>
      </c>
      <c r="D273">
        <v>0</v>
      </c>
      <c r="E273">
        <v>3</v>
      </c>
      <c r="F273" t="s">
        <v>7</v>
      </c>
      <c r="G273">
        <v>3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f>($H$273) * (225)</f>
        <v>0</v>
      </c>
      <c r="AG273">
        <f>($I$273) * (80)</f>
        <v>0</v>
      </c>
      <c r="AH273">
        <f>($J$273) * (80)</f>
        <v>0</v>
      </c>
      <c r="AI273">
        <f>($K$273) * (225)</f>
        <v>0</v>
      </c>
      <c r="AJ273">
        <f>($L$273) * (80)</f>
        <v>0</v>
      </c>
      <c r="AK273">
        <f>($M$273) * (80)</f>
        <v>0</v>
      </c>
      <c r="AL273">
        <f>($N$273) * (295)</f>
        <v>0</v>
      </c>
      <c r="AM273">
        <f>($O$273) * (365)</f>
        <v>0</v>
      </c>
      <c r="AN273">
        <f>($P$273) * (220)</f>
        <v>0</v>
      </c>
      <c r="AO273">
        <f>($Q$273) * (220)</f>
        <v>0</v>
      </c>
      <c r="AP273">
        <f>($R$273) * (435)</f>
        <v>0</v>
      </c>
      <c r="AQ273">
        <f>($S$273) * (290)</f>
        <v>0</v>
      </c>
      <c r="AR273">
        <f>($T$273) * (290)</f>
        <v>0</v>
      </c>
      <c r="AS273">
        <f>($U$273) * (505)</f>
        <v>0</v>
      </c>
      <c r="AT273">
        <f>($V$273) * (360)</f>
        <v>0</v>
      </c>
      <c r="AU273">
        <f>($W$273) * (360)</f>
        <v>0</v>
      </c>
      <c r="AV273">
        <f>($X$273) * (575)</f>
        <v>0</v>
      </c>
      <c r="AW273">
        <f>($Y$273) * (430)</f>
        <v>0</v>
      </c>
      <c r="AX273">
        <f>($Z$273) * (645)</f>
        <v>0</v>
      </c>
      <c r="AY273">
        <f>($AA$273) * (500)</f>
        <v>0</v>
      </c>
      <c r="AZ273">
        <f>($AB$273) * (715)</f>
        <v>0</v>
      </c>
      <c r="BA273">
        <f>($AC$273) * (570)</f>
        <v>0</v>
      </c>
      <c r="BB273">
        <f>($AD$273) * (785)</f>
        <v>0</v>
      </c>
      <c r="BC273">
        <f>($AE$273) * (855)</f>
        <v>0</v>
      </c>
      <c r="BO273">
        <v>1</v>
      </c>
      <c r="BP273">
        <f>SUM($H$273:$N$273)</f>
        <v>0</v>
      </c>
    </row>
    <row r="274" spans="1:68" x14ac:dyDescent="0.25">
      <c r="A274">
        <v>293</v>
      </c>
      <c r="B274">
        <v>2</v>
      </c>
      <c r="C274">
        <v>14200</v>
      </c>
      <c r="D274">
        <v>4</v>
      </c>
      <c r="E274">
        <v>8</v>
      </c>
      <c r="F274" t="s">
        <v>7</v>
      </c>
      <c r="G274">
        <v>3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f>($H$274) * (225)</f>
        <v>0</v>
      </c>
      <c r="AG274">
        <f>($I$274) * (80)</f>
        <v>0</v>
      </c>
      <c r="AH274">
        <f>($J$274) * (80)</f>
        <v>0</v>
      </c>
      <c r="AI274">
        <f>($K$274) * (225)</f>
        <v>0</v>
      </c>
      <c r="AJ274">
        <f>($L$274) * (80)</f>
        <v>0</v>
      </c>
      <c r="AK274">
        <f>($M$274) * (80)</f>
        <v>0</v>
      </c>
      <c r="AL274">
        <f>($N$274) * (225)</f>
        <v>0</v>
      </c>
      <c r="AM274">
        <f>($O$274) * (225)</f>
        <v>0</v>
      </c>
      <c r="AN274">
        <f>($P$274) * (80)</f>
        <v>0</v>
      </c>
      <c r="AO274">
        <f>($Q$274) * (80)</f>
        <v>0</v>
      </c>
      <c r="AP274">
        <f>($R$274) * (225)</f>
        <v>0</v>
      </c>
      <c r="AQ274">
        <f>($S$274) * (80)</f>
        <v>0</v>
      </c>
      <c r="AR274">
        <f>($T$274) * (80)</f>
        <v>0</v>
      </c>
      <c r="AS274">
        <f>($U$274) * (225)</f>
        <v>0</v>
      </c>
      <c r="AT274">
        <f>($V$274) * (80)</f>
        <v>0</v>
      </c>
      <c r="AU274">
        <f>($W$274) * (80)</f>
        <v>0</v>
      </c>
      <c r="AV274">
        <f>($X$274) * (295)</f>
        <v>0</v>
      </c>
      <c r="AW274">
        <f>($Y$274) * (150)</f>
        <v>0</v>
      </c>
      <c r="AX274">
        <f>($Z$274) * (365)</f>
        <v>0</v>
      </c>
      <c r="AY274">
        <f>($AA$274) * (220)</f>
        <v>0</v>
      </c>
      <c r="AZ274">
        <f>($AB$274) * (435)</f>
        <v>0</v>
      </c>
      <c r="BA274">
        <f>($AC$274) * (290)</f>
        <v>0</v>
      </c>
      <c r="BB274">
        <f>($AD$274) * (505)</f>
        <v>0</v>
      </c>
      <c r="BC274">
        <f>($AE$274) * (575)</f>
        <v>0</v>
      </c>
      <c r="BO274">
        <v>1</v>
      </c>
      <c r="BP274">
        <f>SUM($R$274:$Z$274)</f>
        <v>0</v>
      </c>
    </row>
    <row r="275" spans="1:68" x14ac:dyDescent="0.25">
      <c r="A275">
        <v>294</v>
      </c>
      <c r="B275">
        <v>2</v>
      </c>
      <c r="C275">
        <v>12200</v>
      </c>
      <c r="D275">
        <v>3</v>
      </c>
      <c r="E275">
        <v>7</v>
      </c>
      <c r="F275" t="s">
        <v>7</v>
      </c>
      <c r="G275">
        <v>5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f>($H$275) * (225)</f>
        <v>0</v>
      </c>
      <c r="AG275">
        <f>($I$275) * (80)</f>
        <v>0</v>
      </c>
      <c r="AH275">
        <f>($J$275) * (80)</f>
        <v>0</v>
      </c>
      <c r="AI275">
        <f>($K$275) * (225)</f>
        <v>0</v>
      </c>
      <c r="AJ275">
        <f>($L$275) * (80)</f>
        <v>0</v>
      </c>
      <c r="AK275">
        <f>($M$275) * (80)</f>
        <v>0</v>
      </c>
      <c r="AL275">
        <f>($N$275) * (225)</f>
        <v>0</v>
      </c>
      <c r="AM275">
        <f>($O$275) * (225)</f>
        <v>0</v>
      </c>
      <c r="AN275">
        <f>($P$275) * (80)</f>
        <v>0</v>
      </c>
      <c r="AO275">
        <f>($Q$275) * (80)</f>
        <v>0</v>
      </c>
      <c r="AP275">
        <f>($R$275) * (225)</f>
        <v>0</v>
      </c>
      <c r="AQ275">
        <f>($S$275) * (80)</f>
        <v>0</v>
      </c>
      <c r="AR275">
        <f>($T$275) * (80)</f>
        <v>0</v>
      </c>
      <c r="AS275">
        <f>($U$275) * (225)</f>
        <v>0</v>
      </c>
      <c r="AT275">
        <f>($V$275) * (80)</f>
        <v>0</v>
      </c>
      <c r="AU275">
        <f>($W$275) * (80)</f>
        <v>0</v>
      </c>
      <c r="AV275">
        <f>($X$275) * (225)</f>
        <v>0</v>
      </c>
      <c r="AW275">
        <f>($Y$275) * (80)</f>
        <v>0</v>
      </c>
      <c r="AX275">
        <f>($Z$275) * (295)</f>
        <v>0</v>
      </c>
      <c r="AY275">
        <f>($AA$275) * (150)</f>
        <v>0</v>
      </c>
      <c r="AZ275">
        <f>($AB$275) * (365)</f>
        <v>0</v>
      </c>
      <c r="BA275">
        <f>($AC$275) * (220)</f>
        <v>0</v>
      </c>
      <c r="BB275">
        <f>($AD$275) * (435)</f>
        <v>0</v>
      </c>
      <c r="BC275">
        <f>($AE$275) * (505)</f>
        <v>0</v>
      </c>
      <c r="BO275">
        <v>1</v>
      </c>
      <c r="BP275">
        <f>SUM($O$275:$X$275)</f>
        <v>0</v>
      </c>
    </row>
    <row r="276" spans="1:68" x14ac:dyDescent="0.25">
      <c r="A276">
        <v>298</v>
      </c>
      <c r="B276">
        <v>2</v>
      </c>
      <c r="C276">
        <v>14200</v>
      </c>
      <c r="D276">
        <v>5</v>
      </c>
      <c r="E276">
        <v>8</v>
      </c>
      <c r="F276" t="s">
        <v>7</v>
      </c>
      <c r="G276">
        <v>4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f>($H$276) * (225)</f>
        <v>0</v>
      </c>
      <c r="AG276">
        <f>($I$276) * (80)</f>
        <v>0</v>
      </c>
      <c r="AH276">
        <f>($J$276) * (80)</f>
        <v>0</v>
      </c>
      <c r="AI276">
        <f>($K$276) * (225)</f>
        <v>0</v>
      </c>
      <c r="AJ276">
        <f>($L$276) * (80)</f>
        <v>0</v>
      </c>
      <c r="AK276">
        <f>($M$276) * (80)</f>
        <v>0</v>
      </c>
      <c r="AL276">
        <f>($N$276) * (225)</f>
        <v>0</v>
      </c>
      <c r="AM276">
        <f>($O$276) * (225)</f>
        <v>0</v>
      </c>
      <c r="AN276">
        <f>($P$276) * (80)</f>
        <v>0</v>
      </c>
      <c r="AO276">
        <f>($Q$276) * (80)</f>
        <v>0</v>
      </c>
      <c r="AP276">
        <f>($R$276) * (225)</f>
        <v>0</v>
      </c>
      <c r="AQ276">
        <f>($S$276) * (80)</f>
        <v>0</v>
      </c>
      <c r="AR276">
        <f>($T$276) * (80)</f>
        <v>0</v>
      </c>
      <c r="AS276">
        <f>($U$276) * (225)</f>
        <v>0</v>
      </c>
      <c r="AT276">
        <f>($V$276) * (80)</f>
        <v>0</v>
      </c>
      <c r="AU276">
        <f>($W$276) * (80)</f>
        <v>0</v>
      </c>
      <c r="AV276">
        <f>($X$276) * (225)</f>
        <v>0</v>
      </c>
      <c r="AW276">
        <f>($Y$276) * (80)</f>
        <v>0</v>
      </c>
      <c r="AX276">
        <f>($Z$276) * (225)</f>
        <v>0</v>
      </c>
      <c r="AY276">
        <f>($AA$276) * (80)</f>
        <v>0</v>
      </c>
      <c r="AZ276">
        <f>($AB$276) * (295)</f>
        <v>0</v>
      </c>
      <c r="BA276">
        <f>($AC$276) * (150)</f>
        <v>0</v>
      </c>
      <c r="BB276">
        <f>($AD$276) * (365)</f>
        <v>0</v>
      </c>
      <c r="BC276">
        <f>($AE$276) * (435)</f>
        <v>0</v>
      </c>
      <c r="BO276">
        <v>1</v>
      </c>
      <c r="BP276">
        <f>SUM($U$276:$Z$276)</f>
        <v>0</v>
      </c>
    </row>
    <row r="277" spans="1:68" x14ac:dyDescent="0.25">
      <c r="A277">
        <v>299</v>
      </c>
      <c r="B277">
        <v>2</v>
      </c>
      <c r="C277">
        <v>7978</v>
      </c>
      <c r="D277">
        <v>2</v>
      </c>
      <c r="E277">
        <v>6</v>
      </c>
      <c r="F277" t="s">
        <v>7</v>
      </c>
      <c r="G277">
        <v>4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f>($H$277) * (225)</f>
        <v>0</v>
      </c>
      <c r="AG277">
        <f>($I$277) * (80)</f>
        <v>0</v>
      </c>
      <c r="AH277">
        <f>($J$277) * (80)</f>
        <v>0</v>
      </c>
      <c r="AI277">
        <f>($K$277) * (225)</f>
        <v>0</v>
      </c>
      <c r="AJ277">
        <f>($L$277) * (80)</f>
        <v>0</v>
      </c>
      <c r="AK277">
        <f>($M$277) * (80)</f>
        <v>0</v>
      </c>
      <c r="AL277">
        <f>($N$277) * (225)</f>
        <v>0</v>
      </c>
      <c r="AM277">
        <f>($O$277) * (225)</f>
        <v>0</v>
      </c>
      <c r="AN277">
        <f>($P$277) * (80)</f>
        <v>0</v>
      </c>
      <c r="AO277">
        <f>($Q$277) * (80)</f>
        <v>0</v>
      </c>
      <c r="AP277">
        <f>($R$277) * (225)</f>
        <v>0</v>
      </c>
      <c r="AQ277">
        <f>($S$277) * (80)</f>
        <v>0</v>
      </c>
      <c r="AR277">
        <f>($T$277) * (80)</f>
        <v>0</v>
      </c>
      <c r="AS277">
        <f>($U$277) * (295)</f>
        <v>0</v>
      </c>
      <c r="AT277">
        <f>($V$277) * (150)</f>
        <v>0</v>
      </c>
      <c r="AU277">
        <f>($W$277) * (150)</f>
        <v>0</v>
      </c>
      <c r="AV277">
        <f>($X$277) * (365)</f>
        <v>0</v>
      </c>
      <c r="AW277">
        <f>($Y$277) * (220)</f>
        <v>0</v>
      </c>
      <c r="AX277">
        <f>($Z$277) * (435)</f>
        <v>0</v>
      </c>
      <c r="AY277">
        <f>($AA$277) * (290)</f>
        <v>0</v>
      </c>
      <c r="AZ277">
        <f>($AB$277) * (505)</f>
        <v>0</v>
      </c>
      <c r="BA277">
        <f>($AC$277) * (360)</f>
        <v>0</v>
      </c>
      <c r="BB277">
        <f>($AD$277) * (575)</f>
        <v>0</v>
      </c>
      <c r="BC277">
        <f>($AE$277) * (645)</f>
        <v>0</v>
      </c>
      <c r="BO277">
        <v>1</v>
      </c>
      <c r="BP277">
        <f>SUM($N$277:$U$277)</f>
        <v>0</v>
      </c>
    </row>
    <row r="278" spans="1:68" x14ac:dyDescent="0.25">
      <c r="A278">
        <v>13</v>
      </c>
      <c r="B278">
        <v>1</v>
      </c>
      <c r="C278">
        <v>5649</v>
      </c>
      <c r="D278">
        <v>5</v>
      </c>
      <c r="E278">
        <v>9</v>
      </c>
      <c r="F278" t="s">
        <v>12</v>
      </c>
      <c r="G278">
        <v>5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f>($H$278) * (225)</f>
        <v>0</v>
      </c>
      <c r="AG278">
        <f>($I$278) * (40)</f>
        <v>0</v>
      </c>
      <c r="AH278">
        <f>($J$278) * (40)</f>
        <v>0</v>
      </c>
      <c r="AI278">
        <f>($K$278) * (225)</f>
        <v>0</v>
      </c>
      <c r="AJ278">
        <f>($L$278) * (40)</f>
        <v>0</v>
      </c>
      <c r="AK278">
        <f>($M$278) * (40)</f>
        <v>0</v>
      </c>
      <c r="AL278">
        <f>($N$278) * (225)</f>
        <v>0</v>
      </c>
      <c r="AM278">
        <f>($O$278) * (225)</f>
        <v>0</v>
      </c>
      <c r="AN278">
        <f>($P$278) * (40)</f>
        <v>0</v>
      </c>
      <c r="AO278">
        <f>($Q$278) * (40)</f>
        <v>0</v>
      </c>
      <c r="AP278">
        <f>($R$278) * (225)</f>
        <v>0</v>
      </c>
      <c r="AQ278">
        <f>($S$278) * (40)</f>
        <v>0</v>
      </c>
      <c r="AR278">
        <f>($T$278) * (40)</f>
        <v>0</v>
      </c>
      <c r="AS278">
        <f>($U$278) * (225)</f>
        <v>0</v>
      </c>
      <c r="AT278">
        <f>($V$278) * (40)</f>
        <v>0</v>
      </c>
      <c r="AU278">
        <f>($W$278) * (40)</f>
        <v>0</v>
      </c>
      <c r="AV278">
        <f>($X$278) * (225)</f>
        <v>0</v>
      </c>
      <c r="AW278">
        <f>($Y$278) * (40)</f>
        <v>0</v>
      </c>
      <c r="AX278">
        <f>($Z$278) * (225)</f>
        <v>0</v>
      </c>
      <c r="AY278">
        <f>($AA$278) * (40)</f>
        <v>0</v>
      </c>
      <c r="AZ278">
        <f>($AB$278) * (225)</f>
        <v>0</v>
      </c>
      <c r="BA278">
        <f>($AC$278) * (40)</f>
        <v>0</v>
      </c>
      <c r="BB278">
        <f>($AD$278) * (275)</f>
        <v>0</v>
      </c>
      <c r="BC278">
        <f>($AE$278) * (325)</f>
        <v>0</v>
      </c>
      <c r="BO278">
        <v>1</v>
      </c>
      <c r="BP278">
        <f>SUM($U$278:$AB$278)</f>
        <v>0</v>
      </c>
    </row>
    <row r="279" spans="1:68" x14ac:dyDescent="0.25">
      <c r="A279">
        <v>20</v>
      </c>
      <c r="B279">
        <v>2</v>
      </c>
      <c r="C279">
        <v>8950</v>
      </c>
      <c r="D279">
        <v>1</v>
      </c>
      <c r="E279">
        <v>6</v>
      </c>
      <c r="F279" t="s">
        <v>12</v>
      </c>
      <c r="G279">
        <v>3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f>($H$279) * (225)</f>
        <v>0</v>
      </c>
      <c r="AG279">
        <f>($I$279) * (80)</f>
        <v>0</v>
      </c>
      <c r="AH279">
        <f>($J$279) * (80)</f>
        <v>0</v>
      </c>
      <c r="AI279">
        <f>($K$279) * (225)</f>
        <v>0</v>
      </c>
      <c r="AJ279">
        <f>($L$279) * (80)</f>
        <v>0</v>
      </c>
      <c r="AK279">
        <f>($M$279) * (80)</f>
        <v>0</v>
      </c>
      <c r="AL279">
        <f>($N$279) * (225)</f>
        <v>0</v>
      </c>
      <c r="AM279">
        <f>($O$279) * (295)</f>
        <v>0</v>
      </c>
      <c r="AN279">
        <f>($P$279) * (150)</f>
        <v>0</v>
      </c>
      <c r="AO279">
        <f>($Q$279) * (150)</f>
        <v>0</v>
      </c>
      <c r="AP279">
        <f>($R$279) * (365)</f>
        <v>0</v>
      </c>
      <c r="AQ279">
        <f>($S$279) * (220)</f>
        <v>0</v>
      </c>
      <c r="AR279">
        <f>($T$279) * (220)</f>
        <v>0</v>
      </c>
      <c r="AS279">
        <f>($U$279) * (435)</f>
        <v>0</v>
      </c>
      <c r="AT279">
        <f>($V$279) * (290)</f>
        <v>0</v>
      </c>
      <c r="AU279">
        <f>($W$279) * (290)</f>
        <v>0</v>
      </c>
      <c r="AV279">
        <f>($X$279) * (505)</f>
        <v>0</v>
      </c>
      <c r="AW279">
        <f>($Y$279) * (360)</f>
        <v>0</v>
      </c>
      <c r="AX279">
        <f>($Z$279) * (575)</f>
        <v>0</v>
      </c>
      <c r="AY279">
        <f>($AA$279) * (430)</f>
        <v>0</v>
      </c>
      <c r="AZ279">
        <f>($AB$279) * (645)</f>
        <v>0</v>
      </c>
      <c r="BA279">
        <f>($AC$279) * (500)</f>
        <v>0</v>
      </c>
      <c r="BB279">
        <f>($AD$279) * (715)</f>
        <v>0</v>
      </c>
      <c r="BC279">
        <f>($AE$279) * (785)</f>
        <v>0</v>
      </c>
      <c r="BO279">
        <v>1</v>
      </c>
      <c r="BP279">
        <f>SUM($K$279:$U$279)</f>
        <v>0</v>
      </c>
    </row>
    <row r="280" spans="1:68" x14ac:dyDescent="0.25">
      <c r="A280">
        <v>45</v>
      </c>
      <c r="B280">
        <v>2</v>
      </c>
      <c r="C280">
        <v>22950</v>
      </c>
      <c r="D280">
        <v>2</v>
      </c>
      <c r="E280">
        <v>5</v>
      </c>
      <c r="F280" t="s">
        <v>12</v>
      </c>
      <c r="G280">
        <v>3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f>($H$280) * (225)</f>
        <v>0</v>
      </c>
      <c r="AG280">
        <f>($I$280) * (80)</f>
        <v>0</v>
      </c>
      <c r="AH280">
        <f>($J$280) * (80)</f>
        <v>0</v>
      </c>
      <c r="AI280">
        <f>($K$280) * (225)</f>
        <v>0</v>
      </c>
      <c r="AJ280">
        <f>($L$280) * (80)</f>
        <v>0</v>
      </c>
      <c r="AK280">
        <f>($M$280) * (80)</f>
        <v>0</v>
      </c>
      <c r="AL280">
        <f>($N$280) * (225)</f>
        <v>0</v>
      </c>
      <c r="AM280">
        <f>($O$280) * (225)</f>
        <v>0</v>
      </c>
      <c r="AN280">
        <f>($P$280) * (80)</f>
        <v>0</v>
      </c>
      <c r="AO280">
        <f>($Q$280) * (80)</f>
        <v>0</v>
      </c>
      <c r="AP280">
        <f>($R$280) * (295)</f>
        <v>0</v>
      </c>
      <c r="AQ280">
        <f>($S$280) * (150)</f>
        <v>0</v>
      </c>
      <c r="AR280">
        <f>($T$280) * (150)</f>
        <v>0</v>
      </c>
      <c r="AS280">
        <f>($U$280) * (365)</f>
        <v>0</v>
      </c>
      <c r="AT280">
        <f>($V$280) * (220)</f>
        <v>0</v>
      </c>
      <c r="AU280">
        <f>($W$280) * (220)</f>
        <v>0</v>
      </c>
      <c r="AV280">
        <f>($X$280) * (435)</f>
        <v>0</v>
      </c>
      <c r="AW280">
        <f>($Y$280) * (290)</f>
        <v>0</v>
      </c>
      <c r="AX280">
        <f>($Z$280) * (505)</f>
        <v>0</v>
      </c>
      <c r="AY280">
        <f>($AA$280) * (360)</f>
        <v>0</v>
      </c>
      <c r="AZ280">
        <f>($AB$280) * (575)</f>
        <v>0</v>
      </c>
      <c r="BA280">
        <f>($AC$280) * (430)</f>
        <v>0</v>
      </c>
      <c r="BB280">
        <f>($AD$280) * (645)</f>
        <v>0</v>
      </c>
      <c r="BC280">
        <f>($AE$280) * (715)</f>
        <v>0</v>
      </c>
      <c r="BO280">
        <v>1</v>
      </c>
      <c r="BP280">
        <f>SUM($N$280:$R$280)</f>
        <v>0</v>
      </c>
    </row>
    <row r="281" spans="1:68" x14ac:dyDescent="0.25">
      <c r="A281">
        <v>65</v>
      </c>
      <c r="B281">
        <v>2</v>
      </c>
      <c r="C281">
        <v>9200</v>
      </c>
      <c r="D281">
        <v>4</v>
      </c>
      <c r="E281">
        <v>7</v>
      </c>
      <c r="F281" t="s">
        <v>12</v>
      </c>
      <c r="G281">
        <v>3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f>($H$281) * (225)</f>
        <v>0</v>
      </c>
      <c r="AG281">
        <f>($I$281) * (80)</f>
        <v>0</v>
      </c>
      <c r="AH281">
        <f>($J$281) * (80)</f>
        <v>0</v>
      </c>
      <c r="AI281">
        <f>($K$281) * (225)</f>
        <v>0</v>
      </c>
      <c r="AJ281">
        <f>($L$281) * (80)</f>
        <v>0</v>
      </c>
      <c r="AK281">
        <f>($M$281) * (80)</f>
        <v>0</v>
      </c>
      <c r="AL281">
        <f>($N$281) * (225)</f>
        <v>0</v>
      </c>
      <c r="AM281">
        <f>($O$281) * (225)</f>
        <v>0</v>
      </c>
      <c r="AN281">
        <f>($P$281) * (80)</f>
        <v>0</v>
      </c>
      <c r="AO281">
        <f>($Q$281) * (80)</f>
        <v>0</v>
      </c>
      <c r="AP281">
        <f>($R$281) * (225)</f>
        <v>0</v>
      </c>
      <c r="AQ281">
        <f>($S$281) * (80)</f>
        <v>0</v>
      </c>
      <c r="AR281">
        <f>($T$281) * (80)</f>
        <v>0</v>
      </c>
      <c r="AS281">
        <f>($U$281) * (225)</f>
        <v>0</v>
      </c>
      <c r="AT281">
        <f>($V$281) * (80)</f>
        <v>0</v>
      </c>
      <c r="AU281">
        <f>($W$281) * (80)</f>
        <v>0</v>
      </c>
      <c r="AV281">
        <f>($X$281) * (295)</f>
        <v>0</v>
      </c>
      <c r="AW281">
        <f>($Y$281) * (150)</f>
        <v>0</v>
      </c>
      <c r="AX281">
        <f>($Z$281) * (365)</f>
        <v>0</v>
      </c>
      <c r="AY281">
        <f>($AA$281) * (220)</f>
        <v>0</v>
      </c>
      <c r="AZ281">
        <f>($AB$281) * (435)</f>
        <v>0</v>
      </c>
      <c r="BA281">
        <f>($AC$281) * (290)</f>
        <v>0</v>
      </c>
      <c r="BB281">
        <f>($AD$281) * (505)</f>
        <v>0</v>
      </c>
      <c r="BC281">
        <f>($AE$281) * (575)</f>
        <v>0</v>
      </c>
      <c r="BO281">
        <v>1</v>
      </c>
      <c r="BP281">
        <f>SUM($R$281:$X$281)</f>
        <v>0</v>
      </c>
    </row>
    <row r="282" spans="1:68" x14ac:dyDescent="0.25">
      <c r="A282">
        <v>67</v>
      </c>
      <c r="B282">
        <v>2</v>
      </c>
      <c r="C282">
        <v>13852</v>
      </c>
      <c r="D282">
        <v>4</v>
      </c>
      <c r="E282">
        <v>7</v>
      </c>
      <c r="F282" t="s">
        <v>12</v>
      </c>
      <c r="G282">
        <v>3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f>($H$282) * (225)</f>
        <v>0</v>
      </c>
      <c r="AG282">
        <f>($I$282) * (80)</f>
        <v>0</v>
      </c>
      <c r="AH282">
        <f>($J$282) * (80)</f>
        <v>0</v>
      </c>
      <c r="AI282">
        <f>($K$282) * (225)</f>
        <v>0</v>
      </c>
      <c r="AJ282">
        <f>($L$282) * (80)</f>
        <v>0</v>
      </c>
      <c r="AK282">
        <f>($M$282) * (80)</f>
        <v>0</v>
      </c>
      <c r="AL282">
        <f>($N$282) * (225)</f>
        <v>0</v>
      </c>
      <c r="AM282">
        <f>($O$282) * (225)</f>
        <v>0</v>
      </c>
      <c r="AN282">
        <f>($P$282) * (80)</f>
        <v>0</v>
      </c>
      <c r="AO282">
        <f>($Q$282) * (80)</f>
        <v>0</v>
      </c>
      <c r="AP282">
        <f>($R$282) * (225)</f>
        <v>0</v>
      </c>
      <c r="AQ282">
        <f>($S$282) * (80)</f>
        <v>0</v>
      </c>
      <c r="AR282">
        <f>($T$282) * (80)</f>
        <v>0</v>
      </c>
      <c r="AS282">
        <f>($U$282) * (225)</f>
        <v>0</v>
      </c>
      <c r="AT282">
        <f>($V$282) * (80)</f>
        <v>0</v>
      </c>
      <c r="AU282">
        <f>($W$282) * (80)</f>
        <v>0</v>
      </c>
      <c r="AV282">
        <f>($X$282) * (295)</f>
        <v>0</v>
      </c>
      <c r="AW282">
        <f>($Y$282) * (150)</f>
        <v>0</v>
      </c>
      <c r="AX282">
        <f>($Z$282) * (365)</f>
        <v>0</v>
      </c>
      <c r="AY282">
        <f>($AA$282) * (220)</f>
        <v>0</v>
      </c>
      <c r="AZ282">
        <f>($AB$282) * (435)</f>
        <v>0</v>
      </c>
      <c r="BA282">
        <f>($AC$282) * (290)</f>
        <v>0</v>
      </c>
      <c r="BB282">
        <f>($AD$282) * (505)</f>
        <v>0</v>
      </c>
      <c r="BC282">
        <f>($AE$282) * (575)</f>
        <v>0</v>
      </c>
      <c r="BO282">
        <v>1</v>
      </c>
      <c r="BP282">
        <f>SUM($R$282:$X$282)</f>
        <v>0</v>
      </c>
    </row>
    <row r="283" spans="1:68" x14ac:dyDescent="0.25">
      <c r="A283">
        <v>75</v>
      </c>
      <c r="B283">
        <v>2</v>
      </c>
      <c r="C283">
        <v>9301</v>
      </c>
      <c r="D283">
        <v>2</v>
      </c>
      <c r="E283">
        <v>7</v>
      </c>
      <c r="F283" t="s">
        <v>12</v>
      </c>
      <c r="G283">
        <v>4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f>($H$283) * (225)</f>
        <v>0</v>
      </c>
      <c r="AG283">
        <f>($I$283) * (80)</f>
        <v>0</v>
      </c>
      <c r="AH283">
        <f>($J$283) * (80)</f>
        <v>0</v>
      </c>
      <c r="AI283">
        <f>($K$283) * (225)</f>
        <v>0</v>
      </c>
      <c r="AJ283">
        <f>($L$283) * (80)</f>
        <v>0</v>
      </c>
      <c r="AK283">
        <f>($M$283) * (80)</f>
        <v>0</v>
      </c>
      <c r="AL283">
        <f>($N$283) * (225)</f>
        <v>0</v>
      </c>
      <c r="AM283">
        <f>($O$283) * (225)</f>
        <v>0</v>
      </c>
      <c r="AN283">
        <f>($P$283) * (80)</f>
        <v>0</v>
      </c>
      <c r="AO283">
        <f>($Q$283) * (80)</f>
        <v>0</v>
      </c>
      <c r="AP283">
        <f>($R$283) * (225)</f>
        <v>0</v>
      </c>
      <c r="AQ283">
        <f>($S$283) * (80)</f>
        <v>0</v>
      </c>
      <c r="AR283">
        <f>($T$283) * (80)</f>
        <v>0</v>
      </c>
      <c r="AS283">
        <f>($U$283) * (295)</f>
        <v>0</v>
      </c>
      <c r="AT283">
        <f>($V$283) * (150)</f>
        <v>0</v>
      </c>
      <c r="AU283">
        <f>($W$283) * (150)</f>
        <v>0</v>
      </c>
      <c r="AV283">
        <f>($X$283) * (365)</f>
        <v>0</v>
      </c>
      <c r="AW283">
        <f>($Y$283) * (220)</f>
        <v>0</v>
      </c>
      <c r="AX283">
        <f>($Z$283) * (435)</f>
        <v>0</v>
      </c>
      <c r="AY283">
        <f>($AA$283) * (290)</f>
        <v>0</v>
      </c>
      <c r="AZ283">
        <f>($AB$283) * (505)</f>
        <v>0</v>
      </c>
      <c r="BA283">
        <f>($AC$283) * (360)</f>
        <v>0</v>
      </c>
      <c r="BB283">
        <f>($AD$283) * (575)</f>
        <v>0</v>
      </c>
      <c r="BC283">
        <f>($AE$283) * (645)</f>
        <v>0</v>
      </c>
      <c r="BO283">
        <v>1</v>
      </c>
      <c r="BP283">
        <f>SUM($N$283:$X$283)</f>
        <v>0</v>
      </c>
    </row>
    <row r="284" spans="1:68" x14ac:dyDescent="0.25">
      <c r="A284">
        <v>91</v>
      </c>
      <c r="B284">
        <v>2</v>
      </c>
      <c r="C284">
        <v>28730</v>
      </c>
      <c r="D284">
        <v>4</v>
      </c>
      <c r="E284">
        <v>7</v>
      </c>
      <c r="F284" t="s">
        <v>12</v>
      </c>
      <c r="G284">
        <v>3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f>($H$284) * (225)</f>
        <v>0</v>
      </c>
      <c r="AG284">
        <f>($I$284) * (80)</f>
        <v>0</v>
      </c>
      <c r="AH284">
        <f>($J$284) * (80)</f>
        <v>0</v>
      </c>
      <c r="AI284">
        <f>($K$284) * (225)</f>
        <v>0</v>
      </c>
      <c r="AJ284">
        <f>($L$284) * (80)</f>
        <v>0</v>
      </c>
      <c r="AK284">
        <f>($M$284) * (80)</f>
        <v>0</v>
      </c>
      <c r="AL284">
        <f>($N$284) * (225)</f>
        <v>0</v>
      </c>
      <c r="AM284">
        <f>($O$284) * (225)</f>
        <v>0</v>
      </c>
      <c r="AN284">
        <f>($P$284) * (80)</f>
        <v>0</v>
      </c>
      <c r="AO284">
        <f>($Q$284) * (80)</f>
        <v>0</v>
      </c>
      <c r="AP284">
        <f>($R$284) * (225)</f>
        <v>0</v>
      </c>
      <c r="AQ284">
        <f>($S$284) * (80)</f>
        <v>0</v>
      </c>
      <c r="AR284">
        <f>($T$284) * (80)</f>
        <v>0</v>
      </c>
      <c r="AS284">
        <f>($U$284) * (225)</f>
        <v>0</v>
      </c>
      <c r="AT284">
        <f>($V$284) * (80)</f>
        <v>0</v>
      </c>
      <c r="AU284">
        <f>($W$284) * (80)</f>
        <v>0</v>
      </c>
      <c r="AV284">
        <f>($X$284) * (295)</f>
        <v>0</v>
      </c>
      <c r="AW284">
        <f>($Y$284) * (150)</f>
        <v>0</v>
      </c>
      <c r="AX284">
        <f>($Z$284) * (365)</f>
        <v>0</v>
      </c>
      <c r="AY284">
        <f>($AA$284) * (220)</f>
        <v>0</v>
      </c>
      <c r="AZ284">
        <f>($AB$284) * (435)</f>
        <v>0</v>
      </c>
      <c r="BA284">
        <f>($AC$284) * (290)</f>
        <v>0</v>
      </c>
      <c r="BB284">
        <f>($AD$284) * (505)</f>
        <v>0</v>
      </c>
      <c r="BC284">
        <f>($AE$284) * (575)</f>
        <v>0</v>
      </c>
      <c r="BO284">
        <v>1</v>
      </c>
      <c r="BP284">
        <f>SUM($R$284:$X$284)</f>
        <v>0</v>
      </c>
    </row>
    <row r="285" spans="1:68" x14ac:dyDescent="0.25">
      <c r="A285">
        <v>105</v>
      </c>
      <c r="B285">
        <v>1</v>
      </c>
      <c r="C285">
        <v>2300</v>
      </c>
      <c r="D285">
        <v>5</v>
      </c>
      <c r="E285">
        <v>8</v>
      </c>
      <c r="F285" t="s">
        <v>12</v>
      </c>
      <c r="G285">
        <v>4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f>($H$285) * (225)</f>
        <v>0</v>
      </c>
      <c r="AG285">
        <f>($I$285) * (40)</f>
        <v>0</v>
      </c>
      <c r="AH285">
        <f>($J$285) * (40)</f>
        <v>0</v>
      </c>
      <c r="AI285">
        <f>($K$285) * (225)</f>
        <v>0</v>
      </c>
      <c r="AJ285">
        <f>($L$285) * (40)</f>
        <v>0</v>
      </c>
      <c r="AK285">
        <f>($M$285) * (40)</f>
        <v>0</v>
      </c>
      <c r="AL285">
        <f>($N$285) * (225)</f>
        <v>0</v>
      </c>
      <c r="AM285">
        <f>($O$285) * (225)</f>
        <v>0</v>
      </c>
      <c r="AN285">
        <f>($P$285) * (40)</f>
        <v>0</v>
      </c>
      <c r="AO285">
        <f>($Q$285) * (40)</f>
        <v>0</v>
      </c>
      <c r="AP285">
        <f>($R$285) * (225)</f>
        <v>0</v>
      </c>
      <c r="AQ285">
        <f>($S$285) * (40)</f>
        <v>0</v>
      </c>
      <c r="AR285">
        <f>($T$285) * (40)</f>
        <v>0</v>
      </c>
      <c r="AS285">
        <f>($U$285) * (225)</f>
        <v>0</v>
      </c>
      <c r="AT285">
        <f>($V$285) * (40)</f>
        <v>0</v>
      </c>
      <c r="AU285">
        <f>($W$285) * (40)</f>
        <v>0</v>
      </c>
      <c r="AV285">
        <f>($X$285) * (225)</f>
        <v>0</v>
      </c>
      <c r="AW285">
        <f>($Y$285) * (40)</f>
        <v>0</v>
      </c>
      <c r="AX285">
        <f>($Z$285) * (225)</f>
        <v>0</v>
      </c>
      <c r="AY285">
        <f>($AA$285) * (40)</f>
        <v>0</v>
      </c>
      <c r="AZ285">
        <f>($AB$285) * (275)</f>
        <v>0</v>
      </c>
      <c r="BA285">
        <f>($AC$285) * (90)</f>
        <v>0</v>
      </c>
      <c r="BB285">
        <f>($AD$285) * (325)</f>
        <v>0</v>
      </c>
      <c r="BC285">
        <f>($AE$285) * (375)</f>
        <v>0</v>
      </c>
      <c r="BO285">
        <v>1</v>
      </c>
      <c r="BP285">
        <f>SUM($U$285:$Z$285)</f>
        <v>0</v>
      </c>
    </row>
    <row r="286" spans="1:68" x14ac:dyDescent="0.25">
      <c r="A286">
        <v>107</v>
      </c>
      <c r="B286">
        <v>1</v>
      </c>
      <c r="C286">
        <v>2300</v>
      </c>
      <c r="D286">
        <v>4</v>
      </c>
      <c r="E286">
        <v>7</v>
      </c>
      <c r="F286" t="s">
        <v>12</v>
      </c>
      <c r="G286">
        <v>3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f>($H$286) * (225)</f>
        <v>0</v>
      </c>
      <c r="AG286">
        <f>($I$286) * (40)</f>
        <v>0</v>
      </c>
      <c r="AH286">
        <f>($J$286) * (40)</f>
        <v>0</v>
      </c>
      <c r="AI286">
        <f>($K$286) * (225)</f>
        <v>0</v>
      </c>
      <c r="AJ286">
        <f>($L$286) * (40)</f>
        <v>0</v>
      </c>
      <c r="AK286">
        <f>($M$286) * (40)</f>
        <v>0</v>
      </c>
      <c r="AL286">
        <f>($N$286) * (225)</f>
        <v>0</v>
      </c>
      <c r="AM286">
        <f>($O$286) * (225)</f>
        <v>0</v>
      </c>
      <c r="AN286">
        <f>($P$286) * (40)</f>
        <v>0</v>
      </c>
      <c r="AO286">
        <f>($Q$286) * (40)</f>
        <v>0</v>
      </c>
      <c r="AP286">
        <f>($R$286) * (225)</f>
        <v>0</v>
      </c>
      <c r="AQ286">
        <f>($S$286) * (40)</f>
        <v>0</v>
      </c>
      <c r="AR286">
        <f>($T$286) * (40)</f>
        <v>0</v>
      </c>
      <c r="AS286">
        <f>($U$286) * (225)</f>
        <v>0</v>
      </c>
      <c r="AT286">
        <f>($V$286) * (40)</f>
        <v>0</v>
      </c>
      <c r="AU286">
        <f>($W$286) * (40)</f>
        <v>0</v>
      </c>
      <c r="AV286">
        <f>($X$286) * (275)</f>
        <v>0</v>
      </c>
      <c r="AW286">
        <f>($Y$286) * (90)</f>
        <v>0</v>
      </c>
      <c r="AX286">
        <f>($Z$286) * (325)</f>
        <v>0</v>
      </c>
      <c r="AY286">
        <f>($AA$286) * (140)</f>
        <v>0</v>
      </c>
      <c r="AZ286">
        <f>($AB$286) * (375)</f>
        <v>0</v>
      </c>
      <c r="BA286">
        <f>($AC$286) * (190)</f>
        <v>0</v>
      </c>
      <c r="BB286">
        <f>($AD$286) * (425)</f>
        <v>0</v>
      </c>
      <c r="BC286">
        <f>($AE$286) * (475)</f>
        <v>0</v>
      </c>
      <c r="BO286">
        <v>1</v>
      </c>
      <c r="BP286">
        <f>SUM($R$286:$X$286)</f>
        <v>0</v>
      </c>
    </row>
    <row r="287" spans="1:68" x14ac:dyDescent="0.25">
      <c r="A287">
        <v>112</v>
      </c>
      <c r="B287">
        <v>2</v>
      </c>
      <c r="C287">
        <v>10305</v>
      </c>
      <c r="D287">
        <v>1</v>
      </c>
      <c r="E287">
        <v>6</v>
      </c>
      <c r="F287" t="s">
        <v>12</v>
      </c>
      <c r="G287">
        <v>3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f>($H$287) * (225)</f>
        <v>0</v>
      </c>
      <c r="AG287">
        <f>($I$287) * (80)</f>
        <v>0</v>
      </c>
      <c r="AH287">
        <f>($J$287) * (80)</f>
        <v>0</v>
      </c>
      <c r="AI287">
        <f>($K$287) * (225)</f>
        <v>0</v>
      </c>
      <c r="AJ287">
        <f>($L$287) * (80)</f>
        <v>0</v>
      </c>
      <c r="AK287">
        <f>($M$287) * (80)</f>
        <v>0</v>
      </c>
      <c r="AL287">
        <f>($N$287) * (225)</f>
        <v>0</v>
      </c>
      <c r="AM287">
        <f>($O$287) * (295)</f>
        <v>0</v>
      </c>
      <c r="AN287">
        <f>($P$287) * (150)</f>
        <v>0</v>
      </c>
      <c r="AO287">
        <f>($Q$287) * (150)</f>
        <v>0</v>
      </c>
      <c r="AP287">
        <f>($R$287) * (365)</f>
        <v>0</v>
      </c>
      <c r="AQ287">
        <f>($S$287) * (220)</f>
        <v>0</v>
      </c>
      <c r="AR287">
        <f>($T$287) * (220)</f>
        <v>0</v>
      </c>
      <c r="AS287">
        <f>($U$287) * (435)</f>
        <v>0</v>
      </c>
      <c r="AT287">
        <f>($V$287) * (290)</f>
        <v>0</v>
      </c>
      <c r="AU287">
        <f>($W$287) * (290)</f>
        <v>0</v>
      </c>
      <c r="AV287">
        <f>($X$287) * (505)</f>
        <v>0</v>
      </c>
      <c r="AW287">
        <f>($Y$287) * (360)</f>
        <v>0</v>
      </c>
      <c r="AX287">
        <f>($Z$287) * (575)</f>
        <v>0</v>
      </c>
      <c r="AY287">
        <f>($AA$287) * (430)</f>
        <v>0</v>
      </c>
      <c r="AZ287">
        <f>($AB$287) * (645)</f>
        <v>0</v>
      </c>
      <c r="BA287">
        <f>($AC$287) * (500)</f>
        <v>0</v>
      </c>
      <c r="BB287">
        <f>($AD$287) * (715)</f>
        <v>0</v>
      </c>
      <c r="BC287">
        <f>($AE$287) * (785)</f>
        <v>0</v>
      </c>
      <c r="BO287">
        <v>1</v>
      </c>
      <c r="BP287">
        <f>SUM($K$287:$U$287)</f>
        <v>0</v>
      </c>
    </row>
    <row r="288" spans="1:68" x14ac:dyDescent="0.25">
      <c r="A288">
        <v>132</v>
      </c>
      <c r="B288">
        <v>1</v>
      </c>
      <c r="C288">
        <v>23668</v>
      </c>
      <c r="D288">
        <v>6</v>
      </c>
      <c r="E288">
        <v>10</v>
      </c>
      <c r="F288" t="s">
        <v>12</v>
      </c>
      <c r="G288">
        <v>3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f>($H$288) * (225)</f>
        <v>0</v>
      </c>
      <c r="AG288">
        <f>($I$288) * (40)</f>
        <v>0</v>
      </c>
      <c r="AH288">
        <f>($J$288) * (40)</f>
        <v>0</v>
      </c>
      <c r="AI288">
        <f>($K$288) * (225)</f>
        <v>0</v>
      </c>
      <c r="AJ288">
        <f>($L$288) * (40)</f>
        <v>0</v>
      </c>
      <c r="AK288">
        <f>($M$288) * (40)</f>
        <v>0</v>
      </c>
      <c r="AL288">
        <f>($N$288) * (225)</f>
        <v>0</v>
      </c>
      <c r="AM288">
        <f>($O$288) * (225)</f>
        <v>0</v>
      </c>
      <c r="AN288">
        <f>($P$288) * (40)</f>
        <v>0</v>
      </c>
      <c r="AO288">
        <f>($Q$288) * (40)</f>
        <v>0</v>
      </c>
      <c r="AP288">
        <f>($R$288) * (225)</f>
        <v>0</v>
      </c>
      <c r="AQ288">
        <f>($S$288) * (40)</f>
        <v>0</v>
      </c>
      <c r="AR288">
        <f>($T$288) * (40)</f>
        <v>0</v>
      </c>
      <c r="AS288">
        <f>($U$288) * (225)</f>
        <v>0</v>
      </c>
      <c r="AT288">
        <f>($V$288) * (40)</f>
        <v>0</v>
      </c>
      <c r="AU288">
        <f>($W$288) * (40)</f>
        <v>0</v>
      </c>
      <c r="AV288">
        <f>($X$288) * (225)</f>
        <v>0</v>
      </c>
      <c r="AW288">
        <f>($Y$288) * (40)</f>
        <v>0</v>
      </c>
      <c r="AX288">
        <f>($Z$288) * (225)</f>
        <v>0</v>
      </c>
      <c r="AY288">
        <f>($AA$288) * (40)</f>
        <v>0</v>
      </c>
      <c r="AZ288">
        <f>($AB$288) * (275)</f>
        <v>0</v>
      </c>
      <c r="BA288">
        <f>($AC$288) * (90)</f>
        <v>0</v>
      </c>
      <c r="BB288">
        <f>($AD$288) * (325)</f>
        <v>0</v>
      </c>
      <c r="BC288">
        <f>($AE$288) * (375)</f>
        <v>0</v>
      </c>
      <c r="BO288">
        <v>1</v>
      </c>
      <c r="BP288">
        <f>SUM($X$288:$AD$288)</f>
        <v>0</v>
      </c>
    </row>
    <row r="289" spans="1:68" x14ac:dyDescent="0.25">
      <c r="A289">
        <v>134</v>
      </c>
      <c r="B289">
        <v>1</v>
      </c>
      <c r="C289">
        <v>24020</v>
      </c>
      <c r="D289">
        <v>-1</v>
      </c>
      <c r="E289">
        <v>3</v>
      </c>
      <c r="F289" t="s">
        <v>12</v>
      </c>
      <c r="G289">
        <v>3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f>($H$289) * (225)</f>
        <v>0</v>
      </c>
      <c r="AG289">
        <f>($I$289) * (40)</f>
        <v>0</v>
      </c>
      <c r="AH289">
        <f>($J$289) * (40)</f>
        <v>0</v>
      </c>
      <c r="AI289">
        <f>($K$289) * (275)</f>
        <v>0</v>
      </c>
      <c r="AJ289">
        <f>($L$289) * (90)</f>
        <v>0</v>
      </c>
      <c r="AK289">
        <f>($M$289) * (90)</f>
        <v>0</v>
      </c>
      <c r="AL289">
        <f>($N$289) * (325)</f>
        <v>0</v>
      </c>
      <c r="AM289">
        <f>($O$289) * (375)</f>
        <v>0</v>
      </c>
      <c r="AN289">
        <f>($P$289) * (190)</f>
        <v>0</v>
      </c>
      <c r="AO289">
        <f>($Q$289) * (190)</f>
        <v>0</v>
      </c>
      <c r="AP289">
        <f>($R$289) * (425)</f>
        <v>0</v>
      </c>
      <c r="AQ289">
        <f>($S$289) * (240)</f>
        <v>0</v>
      </c>
      <c r="AR289">
        <f>($T$289) * (240)</f>
        <v>0</v>
      </c>
      <c r="AS289">
        <f>($U$289) * (475)</f>
        <v>0</v>
      </c>
      <c r="AT289">
        <f>($V$289) * (290)</f>
        <v>0</v>
      </c>
      <c r="AU289">
        <f>($W$289) * (290)</f>
        <v>0</v>
      </c>
      <c r="AV289">
        <f>($X$289) * (525)</f>
        <v>0</v>
      </c>
      <c r="AW289">
        <f>($Y$289) * (340)</f>
        <v>0</v>
      </c>
      <c r="AX289">
        <f>($Z$289) * (575)</f>
        <v>0</v>
      </c>
      <c r="AY289">
        <f>($AA$289) * (390)</f>
        <v>0</v>
      </c>
      <c r="AZ289">
        <f>($AB$289) * (625)</f>
        <v>0</v>
      </c>
      <c r="BA289">
        <f>($AC$289) * (440)</f>
        <v>0</v>
      </c>
      <c r="BB289">
        <f>($AD$289) * (675)</f>
        <v>0</v>
      </c>
      <c r="BC289">
        <f>($AE$289) * (725)</f>
        <v>0</v>
      </c>
      <c r="BO289">
        <v>1</v>
      </c>
      <c r="BP289">
        <f>SUM($H$289:$N$289)</f>
        <v>0</v>
      </c>
    </row>
    <row r="290" spans="1:68" x14ac:dyDescent="0.25">
      <c r="A290">
        <v>135</v>
      </c>
      <c r="B290">
        <v>1</v>
      </c>
      <c r="C290">
        <v>2300</v>
      </c>
      <c r="D290">
        <v>0</v>
      </c>
      <c r="E290">
        <v>5</v>
      </c>
      <c r="F290" t="s">
        <v>12</v>
      </c>
      <c r="G290">
        <v>3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f>($H$290) * (225)</f>
        <v>0</v>
      </c>
      <c r="AG290">
        <f>($I$290) * (40)</f>
        <v>0</v>
      </c>
      <c r="AH290">
        <f>($J$290) * (40)</f>
        <v>0</v>
      </c>
      <c r="AI290">
        <f>($K$290) * (225)</f>
        <v>0</v>
      </c>
      <c r="AJ290">
        <f>($L$290) * (40)</f>
        <v>0</v>
      </c>
      <c r="AK290">
        <f>($M$290) * (40)</f>
        <v>0</v>
      </c>
      <c r="AL290">
        <f>($N$290) * (275)</f>
        <v>0</v>
      </c>
      <c r="AM290">
        <f>($O$290) * (325)</f>
        <v>0</v>
      </c>
      <c r="AN290">
        <f>($P$290) * (140)</f>
        <v>0</v>
      </c>
      <c r="AO290">
        <f>($Q$290) * (140)</f>
        <v>0</v>
      </c>
      <c r="AP290">
        <f>($R$290) * (375)</f>
        <v>0</v>
      </c>
      <c r="AQ290">
        <f>($S$290) * (190)</f>
        <v>0</v>
      </c>
      <c r="AR290">
        <f>($T$290) * (190)</f>
        <v>0</v>
      </c>
      <c r="AS290">
        <f>($U$290) * (425)</f>
        <v>0</v>
      </c>
      <c r="AT290">
        <f>($V$290) * (240)</f>
        <v>0</v>
      </c>
      <c r="AU290">
        <f>($W$290) * (240)</f>
        <v>0</v>
      </c>
      <c r="AV290">
        <f>($X$290) * (475)</f>
        <v>0</v>
      </c>
      <c r="AW290">
        <f>($Y$290) * (290)</f>
        <v>0</v>
      </c>
      <c r="AX290">
        <f>($Z$290) * (525)</f>
        <v>0</v>
      </c>
      <c r="AY290">
        <f>($AA$290) * (340)</f>
        <v>0</v>
      </c>
      <c r="AZ290">
        <f>($AB$290) * (575)</f>
        <v>0</v>
      </c>
      <c r="BA290">
        <f>($AC$290) * (390)</f>
        <v>0</v>
      </c>
      <c r="BB290">
        <f>($AD$290) * (625)</f>
        <v>0</v>
      </c>
      <c r="BC290">
        <f>($AE$290) * (675)</f>
        <v>0</v>
      </c>
      <c r="BO290">
        <v>1</v>
      </c>
      <c r="BP290">
        <f>SUM($H$290:$R$290)</f>
        <v>0</v>
      </c>
    </row>
    <row r="291" spans="1:68" x14ac:dyDescent="0.25">
      <c r="A291">
        <v>150</v>
      </c>
      <c r="B291">
        <v>2</v>
      </c>
      <c r="C291">
        <v>24610</v>
      </c>
      <c r="D291">
        <v>1</v>
      </c>
      <c r="E291">
        <v>5</v>
      </c>
      <c r="F291" t="s">
        <v>12</v>
      </c>
      <c r="G291">
        <v>4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f>($H$291) * (225)</f>
        <v>0</v>
      </c>
      <c r="AG291">
        <f>($I$291) * (80)</f>
        <v>0</v>
      </c>
      <c r="AH291">
        <f>($J$291) * (80)</f>
        <v>0</v>
      </c>
      <c r="AI291">
        <f>($K$291) * (225)</f>
        <v>0</v>
      </c>
      <c r="AJ291">
        <f>($L$291) * (80)</f>
        <v>0</v>
      </c>
      <c r="AK291">
        <f>($M$291) * (80)</f>
        <v>0</v>
      </c>
      <c r="AL291">
        <f>($N$291) * (225)</f>
        <v>0</v>
      </c>
      <c r="AM291">
        <f>($O$291) * (225)</f>
        <v>0</v>
      </c>
      <c r="AN291">
        <f>($P$291) * (80)</f>
        <v>0</v>
      </c>
      <c r="AO291">
        <f>($Q$291) * (80)</f>
        <v>0</v>
      </c>
      <c r="AP291">
        <f>($R$291) * (295)</f>
        <v>0</v>
      </c>
      <c r="AQ291">
        <f>($S$291) * (150)</f>
        <v>0</v>
      </c>
      <c r="AR291">
        <f>($T$291) * (150)</f>
        <v>0</v>
      </c>
      <c r="AS291">
        <f>($U$291) * (365)</f>
        <v>0</v>
      </c>
      <c r="AT291">
        <f>($V$291) * (220)</f>
        <v>0</v>
      </c>
      <c r="AU291">
        <f>($W$291) * (220)</f>
        <v>0</v>
      </c>
      <c r="AV291">
        <f>($X$291) * (435)</f>
        <v>0</v>
      </c>
      <c r="AW291">
        <f>($Y$291) * (290)</f>
        <v>0</v>
      </c>
      <c r="AX291">
        <f>($Z$291) * (505)</f>
        <v>0</v>
      </c>
      <c r="AY291">
        <f>($AA$291) * (360)</f>
        <v>0</v>
      </c>
      <c r="AZ291">
        <f>($AB$291) * (575)</f>
        <v>0</v>
      </c>
      <c r="BA291">
        <f>($AC$291) * (430)</f>
        <v>0</v>
      </c>
      <c r="BB291">
        <f>($AD$291) * (645)</f>
        <v>0</v>
      </c>
      <c r="BC291">
        <f>($AE$291) * (715)</f>
        <v>0</v>
      </c>
      <c r="BO291">
        <v>1</v>
      </c>
      <c r="BP291">
        <f>SUM($K$291:$R$291)</f>
        <v>0</v>
      </c>
    </row>
    <row r="292" spans="1:68" x14ac:dyDescent="0.25">
      <c r="A292">
        <v>164</v>
      </c>
      <c r="B292">
        <v>1</v>
      </c>
      <c r="C292">
        <v>20583</v>
      </c>
      <c r="D292">
        <v>6</v>
      </c>
      <c r="E292">
        <v>9</v>
      </c>
      <c r="F292" t="s">
        <v>12</v>
      </c>
      <c r="G292">
        <v>3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f>($H$292) * (225)</f>
        <v>0</v>
      </c>
      <c r="AG292">
        <f>($I$292) * (40)</f>
        <v>0</v>
      </c>
      <c r="AH292">
        <f>($J$292) * (40)</f>
        <v>0</v>
      </c>
      <c r="AI292">
        <f>($K$292) * (225)</f>
        <v>0</v>
      </c>
      <c r="AJ292">
        <f>($L$292) * (40)</f>
        <v>0</v>
      </c>
      <c r="AK292">
        <f>($M$292) * (40)</f>
        <v>0</v>
      </c>
      <c r="AL292">
        <f>($N$292) * (225)</f>
        <v>0</v>
      </c>
      <c r="AM292">
        <f>($O$292) * (225)</f>
        <v>0</v>
      </c>
      <c r="AN292">
        <f>($P$292) * (40)</f>
        <v>0</v>
      </c>
      <c r="AO292">
        <f>($Q$292) * (40)</f>
        <v>0</v>
      </c>
      <c r="AP292">
        <f>($R$292) * (225)</f>
        <v>0</v>
      </c>
      <c r="AQ292">
        <f>($S$292) * (40)</f>
        <v>0</v>
      </c>
      <c r="AR292">
        <f>($T$292) * (40)</f>
        <v>0</v>
      </c>
      <c r="AS292">
        <f>($U$292) * (225)</f>
        <v>0</v>
      </c>
      <c r="AT292">
        <f>($V$292) * (40)</f>
        <v>0</v>
      </c>
      <c r="AU292">
        <f>($W$292) * (40)</f>
        <v>0</v>
      </c>
      <c r="AV292">
        <f>($X$292) * (225)</f>
        <v>0</v>
      </c>
      <c r="AW292">
        <f>($Y$292) * (40)</f>
        <v>0</v>
      </c>
      <c r="AX292">
        <f>($Z$292) * (225)</f>
        <v>0</v>
      </c>
      <c r="AY292">
        <f>($AA$292) * (40)</f>
        <v>0</v>
      </c>
      <c r="AZ292">
        <f>($AB$292) * (275)</f>
        <v>0</v>
      </c>
      <c r="BA292">
        <f>($AC$292) * (90)</f>
        <v>0</v>
      </c>
      <c r="BB292">
        <f>($AD$292) * (325)</f>
        <v>0</v>
      </c>
      <c r="BC292">
        <f>($AE$292) * (375)</f>
        <v>0</v>
      </c>
      <c r="BO292">
        <v>1</v>
      </c>
      <c r="BP292">
        <f>SUM($X$292:$AB$292)</f>
        <v>0</v>
      </c>
    </row>
    <row r="293" spans="1:68" x14ac:dyDescent="0.25">
      <c r="A293">
        <v>172</v>
      </c>
      <c r="B293">
        <v>1</v>
      </c>
      <c r="C293">
        <v>18890</v>
      </c>
      <c r="D293">
        <v>-1</v>
      </c>
      <c r="E293">
        <v>4</v>
      </c>
      <c r="F293" t="s">
        <v>12</v>
      </c>
      <c r="G293">
        <v>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f>($H$293) * (225)</f>
        <v>0</v>
      </c>
      <c r="AG293">
        <f>($I$293) * (40)</f>
        <v>0</v>
      </c>
      <c r="AH293">
        <f>($J$293) * (40)</f>
        <v>0</v>
      </c>
      <c r="AI293">
        <f>($K$293) * (225)</f>
        <v>0</v>
      </c>
      <c r="AJ293">
        <f>($L$293) * (40)</f>
        <v>0</v>
      </c>
      <c r="AK293">
        <f>($M$293) * (40)</f>
        <v>0</v>
      </c>
      <c r="AL293">
        <f>($N$293) * (275)</f>
        <v>0</v>
      </c>
      <c r="AM293">
        <f>($O$293) * (325)</f>
        <v>0</v>
      </c>
      <c r="AN293">
        <f>($P$293) * (140)</f>
        <v>0</v>
      </c>
      <c r="AO293">
        <f>($Q$293) * (140)</f>
        <v>0</v>
      </c>
      <c r="AP293">
        <f>($R$293) * (375)</f>
        <v>0</v>
      </c>
      <c r="AQ293">
        <f>($S$293) * (190)</f>
        <v>0</v>
      </c>
      <c r="AR293">
        <f>($T$293) * (190)</f>
        <v>0</v>
      </c>
      <c r="AS293">
        <f>($U$293) * (425)</f>
        <v>0</v>
      </c>
      <c r="AT293">
        <f>($V$293) * (240)</f>
        <v>0</v>
      </c>
      <c r="AU293">
        <f>($W$293) * (240)</f>
        <v>0</v>
      </c>
      <c r="AV293">
        <f>($X$293) * (475)</f>
        <v>0</v>
      </c>
      <c r="AW293">
        <f>($Y$293) * (290)</f>
        <v>0</v>
      </c>
      <c r="AX293">
        <f>($Z$293) * (525)</f>
        <v>0</v>
      </c>
      <c r="AY293">
        <f>($AA$293) * (340)</f>
        <v>0</v>
      </c>
      <c r="AZ293">
        <f>($AB$293) * (575)</f>
        <v>0</v>
      </c>
      <c r="BA293">
        <f>($AC$293) * (390)</f>
        <v>0</v>
      </c>
      <c r="BB293">
        <f>($AD$293) * (625)</f>
        <v>0</v>
      </c>
      <c r="BC293">
        <f>($AE$293) * (675)</f>
        <v>0</v>
      </c>
      <c r="BO293">
        <v>1</v>
      </c>
      <c r="BP293">
        <f>SUM($H$293:$O$293)</f>
        <v>0</v>
      </c>
    </row>
    <row r="294" spans="1:68" x14ac:dyDescent="0.25">
      <c r="A294">
        <v>186</v>
      </c>
      <c r="B294">
        <v>1</v>
      </c>
      <c r="C294">
        <v>6450</v>
      </c>
      <c r="D294">
        <v>5</v>
      </c>
      <c r="E294">
        <v>8</v>
      </c>
      <c r="F294" t="s">
        <v>12</v>
      </c>
      <c r="G294">
        <v>3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f>($H$294) * (225)</f>
        <v>0</v>
      </c>
      <c r="AG294">
        <f>($I$294) * (40)</f>
        <v>0</v>
      </c>
      <c r="AH294">
        <f>($J$294) * (40)</f>
        <v>0</v>
      </c>
      <c r="AI294">
        <f>($K$294) * (225)</f>
        <v>0</v>
      </c>
      <c r="AJ294">
        <f>($L$294) * (40)</f>
        <v>0</v>
      </c>
      <c r="AK294">
        <f>($M$294) * (40)</f>
        <v>0</v>
      </c>
      <c r="AL294">
        <f>($N$294) * (225)</f>
        <v>0</v>
      </c>
      <c r="AM294">
        <f>($O$294) * (225)</f>
        <v>0</v>
      </c>
      <c r="AN294">
        <f>($P$294) * (40)</f>
        <v>0</v>
      </c>
      <c r="AO294">
        <f>($Q$294) * (40)</f>
        <v>0</v>
      </c>
      <c r="AP294">
        <f>($R$294) * (225)</f>
        <v>0</v>
      </c>
      <c r="AQ294">
        <f>($S$294) * (40)</f>
        <v>0</v>
      </c>
      <c r="AR294">
        <f>($T$294) * (40)</f>
        <v>0</v>
      </c>
      <c r="AS294">
        <f>($U$294) * (225)</f>
        <v>0</v>
      </c>
      <c r="AT294">
        <f>($V$294) * (40)</f>
        <v>0</v>
      </c>
      <c r="AU294">
        <f>($W$294) * (40)</f>
        <v>0</v>
      </c>
      <c r="AV294">
        <f>($X$294) * (225)</f>
        <v>0</v>
      </c>
      <c r="AW294">
        <f>($Y$294) * (40)</f>
        <v>0</v>
      </c>
      <c r="AX294">
        <f>($Z$294) * (275)</f>
        <v>0</v>
      </c>
      <c r="AY294">
        <f>($AA$294) * (90)</f>
        <v>0</v>
      </c>
      <c r="AZ294">
        <f>($AB$294) * (325)</f>
        <v>0</v>
      </c>
      <c r="BA294">
        <f>($AC$294) * (140)</f>
        <v>0</v>
      </c>
      <c r="BB294">
        <f>($AD$294) * (375)</f>
        <v>0</v>
      </c>
      <c r="BC294">
        <f>($AE$294) * (425)</f>
        <v>0</v>
      </c>
      <c r="BO294">
        <v>1</v>
      </c>
      <c r="BP294">
        <f>SUM($U$294:$Z$294)</f>
        <v>0</v>
      </c>
    </row>
    <row r="295" spans="1:68" x14ac:dyDescent="0.25">
      <c r="A295">
        <v>190</v>
      </c>
      <c r="B295">
        <v>1</v>
      </c>
      <c r="C295">
        <v>2300</v>
      </c>
      <c r="D295">
        <v>3</v>
      </c>
      <c r="E295">
        <v>8</v>
      </c>
      <c r="F295" t="s">
        <v>12</v>
      </c>
      <c r="G295">
        <v>4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f>($H$295) * (225)</f>
        <v>0</v>
      </c>
      <c r="AG295">
        <f>($I$295) * (40)</f>
        <v>0</v>
      </c>
      <c r="AH295">
        <f>($J$295) * (40)</f>
        <v>0</v>
      </c>
      <c r="AI295">
        <f>($K$295) * (225)</f>
        <v>0</v>
      </c>
      <c r="AJ295">
        <f>($L$295) * (40)</f>
        <v>0</v>
      </c>
      <c r="AK295">
        <f>($M$295) * (40)</f>
        <v>0</v>
      </c>
      <c r="AL295">
        <f>($N$295) * (225)</f>
        <v>0</v>
      </c>
      <c r="AM295">
        <f>($O$295) * (225)</f>
        <v>0</v>
      </c>
      <c r="AN295">
        <f>($P$295) * (40)</f>
        <v>0</v>
      </c>
      <c r="AO295">
        <f>($Q$295) * (40)</f>
        <v>0</v>
      </c>
      <c r="AP295">
        <f>($R$295) * (225)</f>
        <v>0</v>
      </c>
      <c r="AQ295">
        <f>($S$295) * (40)</f>
        <v>0</v>
      </c>
      <c r="AR295">
        <f>($T$295) * (40)</f>
        <v>0</v>
      </c>
      <c r="AS295">
        <f>($U$295) * (225)</f>
        <v>0</v>
      </c>
      <c r="AT295">
        <f>($V$295) * (40)</f>
        <v>0</v>
      </c>
      <c r="AU295">
        <f>($W$295) * (40)</f>
        <v>0</v>
      </c>
      <c r="AV295">
        <f>($X$295) * (275)</f>
        <v>0</v>
      </c>
      <c r="AW295">
        <f>($Y$295) * (90)</f>
        <v>0</v>
      </c>
      <c r="AX295">
        <f>($Z$295) * (325)</f>
        <v>0</v>
      </c>
      <c r="AY295">
        <f>($AA$295) * (140)</f>
        <v>0</v>
      </c>
      <c r="AZ295">
        <f>($AB$295) * (375)</f>
        <v>0</v>
      </c>
      <c r="BA295">
        <f>($AC$295) * (190)</f>
        <v>0</v>
      </c>
      <c r="BB295">
        <f>($AD$295) * (425)</f>
        <v>0</v>
      </c>
      <c r="BC295">
        <f>($AE$295) * (475)</f>
        <v>0</v>
      </c>
      <c r="BO295">
        <v>1</v>
      </c>
      <c r="BP295">
        <f>SUM($O$295:$Z$295)</f>
        <v>0</v>
      </c>
    </row>
    <row r="296" spans="1:68" x14ac:dyDescent="0.25">
      <c r="A296">
        <v>197</v>
      </c>
      <c r="B296">
        <v>1</v>
      </c>
      <c r="C296">
        <v>24900</v>
      </c>
      <c r="D296">
        <v>3</v>
      </c>
      <c r="E296">
        <v>8</v>
      </c>
      <c r="F296" t="s">
        <v>12</v>
      </c>
      <c r="G296">
        <v>3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f>($H$296) * (225)</f>
        <v>0</v>
      </c>
      <c r="AG296">
        <f>($I$296) * (40)</f>
        <v>0</v>
      </c>
      <c r="AH296">
        <f>($J$296) * (40)</f>
        <v>0</v>
      </c>
      <c r="AI296">
        <f>($K$296) * (225)</f>
        <v>0</v>
      </c>
      <c r="AJ296">
        <f>($L$296) * (40)</f>
        <v>0</v>
      </c>
      <c r="AK296">
        <f>($M$296) * (40)</f>
        <v>0</v>
      </c>
      <c r="AL296">
        <f>($N$296) * (225)</f>
        <v>0</v>
      </c>
      <c r="AM296">
        <f>($O$296) * (225)</f>
        <v>0</v>
      </c>
      <c r="AN296">
        <f>($P$296) * (40)</f>
        <v>0</v>
      </c>
      <c r="AO296">
        <f>($Q$296) * (40)</f>
        <v>0</v>
      </c>
      <c r="AP296">
        <f>($R$296) * (225)</f>
        <v>0</v>
      </c>
      <c r="AQ296">
        <f>($S$296) * (40)</f>
        <v>0</v>
      </c>
      <c r="AR296">
        <f>($T$296) * (40)</f>
        <v>0</v>
      </c>
      <c r="AS296">
        <f>($U$296) * (275)</f>
        <v>0</v>
      </c>
      <c r="AT296">
        <f>($V$296) * (90)</f>
        <v>0</v>
      </c>
      <c r="AU296">
        <f>($W$296) * (90)</f>
        <v>0</v>
      </c>
      <c r="AV296">
        <f>($X$296) * (325)</f>
        <v>0</v>
      </c>
      <c r="AW296">
        <f>($Y$296) * (140)</f>
        <v>0</v>
      </c>
      <c r="AX296">
        <f>($Z$296) * (375)</f>
        <v>0</v>
      </c>
      <c r="AY296">
        <f>($AA$296) * (190)</f>
        <v>0</v>
      </c>
      <c r="AZ296">
        <f>($AB$296) * (425)</f>
        <v>0</v>
      </c>
      <c r="BA296">
        <f>($AC$296) * (240)</f>
        <v>0</v>
      </c>
      <c r="BB296">
        <f>($AD$296) * (475)</f>
        <v>0</v>
      </c>
      <c r="BC296">
        <f>($AE$296) * (525)</f>
        <v>0</v>
      </c>
      <c r="BO296">
        <v>1</v>
      </c>
      <c r="BP296">
        <f>SUM($O$296:$Z$296)</f>
        <v>0</v>
      </c>
    </row>
    <row r="297" spans="1:68" x14ac:dyDescent="0.25">
      <c r="A297">
        <v>211</v>
      </c>
      <c r="B297">
        <v>1</v>
      </c>
      <c r="C297">
        <v>23440</v>
      </c>
      <c r="D297">
        <v>4</v>
      </c>
      <c r="E297">
        <v>8</v>
      </c>
      <c r="F297" t="s">
        <v>12</v>
      </c>
      <c r="G297">
        <v>3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f>($H$297) * (225)</f>
        <v>0</v>
      </c>
      <c r="AG297">
        <f>($I$297) * (40)</f>
        <v>0</v>
      </c>
      <c r="AH297">
        <f>($J$297) * (40)</f>
        <v>0</v>
      </c>
      <c r="AI297">
        <f>($K$297) * (225)</f>
        <v>0</v>
      </c>
      <c r="AJ297">
        <f>($L$297) * (40)</f>
        <v>0</v>
      </c>
      <c r="AK297">
        <f>($M$297) * (40)</f>
        <v>0</v>
      </c>
      <c r="AL297">
        <f>($N$297) * (225)</f>
        <v>0</v>
      </c>
      <c r="AM297">
        <f>($O$297) * (225)</f>
        <v>0</v>
      </c>
      <c r="AN297">
        <f>($P$297) * (40)</f>
        <v>0</v>
      </c>
      <c r="AO297">
        <f>($Q$297) * (40)</f>
        <v>0</v>
      </c>
      <c r="AP297">
        <f>($R$297) * (225)</f>
        <v>0</v>
      </c>
      <c r="AQ297">
        <f>($S$297) * (40)</f>
        <v>0</v>
      </c>
      <c r="AR297">
        <f>($T$297) * (40)</f>
        <v>0</v>
      </c>
      <c r="AS297">
        <f>($U$297) * (225)</f>
        <v>0</v>
      </c>
      <c r="AT297">
        <f>($V$297) * (40)</f>
        <v>0</v>
      </c>
      <c r="AU297">
        <f>($W$297) * (40)</f>
        <v>0</v>
      </c>
      <c r="AV297">
        <f>($X$297) * (275)</f>
        <v>0</v>
      </c>
      <c r="AW297">
        <f>($Y$297) * (90)</f>
        <v>0</v>
      </c>
      <c r="AX297">
        <f>($Z$297) * (325)</f>
        <v>0</v>
      </c>
      <c r="AY297">
        <f>($AA$297) * (140)</f>
        <v>0</v>
      </c>
      <c r="AZ297">
        <f>($AB$297) * (375)</f>
        <v>0</v>
      </c>
      <c r="BA297">
        <f>($AC$297) * (190)</f>
        <v>0</v>
      </c>
      <c r="BB297">
        <f>($AD$297) * (425)</f>
        <v>0</v>
      </c>
      <c r="BC297">
        <f>($AE$297) * (475)</f>
        <v>0</v>
      </c>
      <c r="BO297">
        <v>1</v>
      </c>
      <c r="BP297">
        <f>SUM($R$297:$Z$297)</f>
        <v>0</v>
      </c>
    </row>
    <row r="298" spans="1:68" x14ac:dyDescent="0.25">
      <c r="A298">
        <v>212</v>
      </c>
      <c r="B298">
        <v>1</v>
      </c>
      <c r="C298">
        <v>23440</v>
      </c>
      <c r="D298">
        <v>5</v>
      </c>
      <c r="E298">
        <v>9</v>
      </c>
      <c r="F298" t="s">
        <v>12</v>
      </c>
      <c r="G298">
        <v>3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f>($H$298) * (225)</f>
        <v>0</v>
      </c>
      <c r="AG298">
        <f>($I$298) * (40)</f>
        <v>0</v>
      </c>
      <c r="AH298">
        <f>($J$298) * (40)</f>
        <v>0</v>
      </c>
      <c r="AI298">
        <f>($K$298) * (225)</f>
        <v>0</v>
      </c>
      <c r="AJ298">
        <f>($L$298) * (40)</f>
        <v>0</v>
      </c>
      <c r="AK298">
        <f>($M$298) * (40)</f>
        <v>0</v>
      </c>
      <c r="AL298">
        <f>($N$298) * (225)</f>
        <v>0</v>
      </c>
      <c r="AM298">
        <f>($O$298) * (225)</f>
        <v>0</v>
      </c>
      <c r="AN298">
        <f>($P$298) * (40)</f>
        <v>0</v>
      </c>
      <c r="AO298">
        <f>($Q$298) * (40)</f>
        <v>0</v>
      </c>
      <c r="AP298">
        <f>($R$298) * (225)</f>
        <v>0</v>
      </c>
      <c r="AQ298">
        <f>($S$298) * (40)</f>
        <v>0</v>
      </c>
      <c r="AR298">
        <f>($T$298) * (40)</f>
        <v>0</v>
      </c>
      <c r="AS298">
        <f>($U$298) * (225)</f>
        <v>0</v>
      </c>
      <c r="AT298">
        <f>($V$298) * (40)</f>
        <v>0</v>
      </c>
      <c r="AU298">
        <f>($W$298) * (40)</f>
        <v>0</v>
      </c>
      <c r="AV298">
        <f>($X$298) * (225)</f>
        <v>0</v>
      </c>
      <c r="AW298">
        <f>($Y$298) * (40)</f>
        <v>0</v>
      </c>
      <c r="AX298">
        <f>($Z$298) * (275)</f>
        <v>0</v>
      </c>
      <c r="AY298">
        <f>($AA$298) * (90)</f>
        <v>0</v>
      </c>
      <c r="AZ298">
        <f>($AB$298) * (325)</f>
        <v>0</v>
      </c>
      <c r="BA298">
        <f>($AC$298) * (140)</f>
        <v>0</v>
      </c>
      <c r="BB298">
        <f>($AD$298) * (375)</f>
        <v>0</v>
      </c>
      <c r="BC298">
        <f>($AE$298) * (425)</f>
        <v>0</v>
      </c>
      <c r="BO298">
        <v>1</v>
      </c>
      <c r="BP298">
        <f>SUM($U$298:$AB$298)</f>
        <v>0</v>
      </c>
    </row>
    <row r="299" spans="1:68" x14ac:dyDescent="0.25">
      <c r="A299">
        <v>220</v>
      </c>
      <c r="B299">
        <v>1</v>
      </c>
      <c r="C299">
        <v>23440</v>
      </c>
      <c r="D299">
        <v>2</v>
      </c>
      <c r="E299">
        <v>7</v>
      </c>
      <c r="F299" t="s">
        <v>12</v>
      </c>
      <c r="G299">
        <v>4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f>($H$299) * (225)</f>
        <v>0</v>
      </c>
      <c r="AG299">
        <f>($I$299) * (40)</f>
        <v>0</v>
      </c>
      <c r="AH299">
        <f>($J$299) * (40)</f>
        <v>0</v>
      </c>
      <c r="AI299">
        <f>($K$299) * (225)</f>
        <v>0</v>
      </c>
      <c r="AJ299">
        <f>($L$299) * (40)</f>
        <v>0</v>
      </c>
      <c r="AK299">
        <f>($M$299) * (40)</f>
        <v>0</v>
      </c>
      <c r="AL299">
        <f>($N$299) * (225)</f>
        <v>0</v>
      </c>
      <c r="AM299">
        <f>($O$299) * (225)</f>
        <v>0</v>
      </c>
      <c r="AN299">
        <f>($P$299) * (40)</f>
        <v>0</v>
      </c>
      <c r="AO299">
        <f>($Q$299) * (40)</f>
        <v>0</v>
      </c>
      <c r="AP299">
        <f>($R$299) * (225)</f>
        <v>0</v>
      </c>
      <c r="AQ299">
        <f>($S$299) * (40)</f>
        <v>0</v>
      </c>
      <c r="AR299">
        <f>($T$299) * (40)</f>
        <v>0</v>
      </c>
      <c r="AS299">
        <f>($U$299) * (275)</f>
        <v>0</v>
      </c>
      <c r="AT299">
        <f>($V$299) * (90)</f>
        <v>0</v>
      </c>
      <c r="AU299">
        <f>($W$299) * (90)</f>
        <v>0</v>
      </c>
      <c r="AV299">
        <f>($X$299) * (325)</f>
        <v>0</v>
      </c>
      <c r="AW299">
        <f>($Y$299) * (140)</f>
        <v>0</v>
      </c>
      <c r="AX299">
        <f>($Z$299) * (375)</f>
        <v>0</v>
      </c>
      <c r="AY299">
        <f>($AA$299) * (190)</f>
        <v>0</v>
      </c>
      <c r="AZ299">
        <f>($AB$299) * (425)</f>
        <v>0</v>
      </c>
      <c r="BA299">
        <f>($AC$299) * (240)</f>
        <v>0</v>
      </c>
      <c r="BB299">
        <f>($AD$299) * (475)</f>
        <v>0</v>
      </c>
      <c r="BC299">
        <f>($AE$299) * (525)</f>
        <v>0</v>
      </c>
      <c r="BO299">
        <v>1</v>
      </c>
      <c r="BP299">
        <f>SUM($N$299:$X$299)</f>
        <v>0</v>
      </c>
    </row>
    <row r="300" spans="1:68" x14ac:dyDescent="0.25">
      <c r="A300">
        <v>222</v>
      </c>
      <c r="B300">
        <v>1</v>
      </c>
      <c r="C300">
        <v>23440</v>
      </c>
      <c r="D300">
        <v>3</v>
      </c>
      <c r="E300">
        <v>6</v>
      </c>
      <c r="F300" t="s">
        <v>12</v>
      </c>
      <c r="G300">
        <v>5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f>($H$300) * (225)</f>
        <v>0</v>
      </c>
      <c r="AG300">
        <f>($I$300) * (40)</f>
        <v>0</v>
      </c>
      <c r="AH300">
        <f>($J$300) * (40)</f>
        <v>0</v>
      </c>
      <c r="AI300">
        <f>($K$300) * (225)</f>
        <v>0</v>
      </c>
      <c r="AJ300">
        <f>($L$300) * (40)</f>
        <v>0</v>
      </c>
      <c r="AK300">
        <f>($M$300) * (40)</f>
        <v>0</v>
      </c>
      <c r="AL300">
        <f>($N$300) * (225)</f>
        <v>0</v>
      </c>
      <c r="AM300">
        <f>($O$300) * (225)</f>
        <v>0</v>
      </c>
      <c r="AN300">
        <f>($P$300) * (40)</f>
        <v>0</v>
      </c>
      <c r="AO300">
        <f>($Q$300) * (40)</f>
        <v>0</v>
      </c>
      <c r="AP300">
        <f>($R$300) * (225)</f>
        <v>0</v>
      </c>
      <c r="AQ300">
        <f>($S$300) * (40)</f>
        <v>0</v>
      </c>
      <c r="AR300">
        <f>($T$300) * (40)</f>
        <v>0</v>
      </c>
      <c r="AS300">
        <f>($U$300) * (225)</f>
        <v>0</v>
      </c>
      <c r="AT300">
        <f>($V$300) * (40)</f>
        <v>0</v>
      </c>
      <c r="AU300">
        <f>($W$300) * (40)</f>
        <v>0</v>
      </c>
      <c r="AV300">
        <f>($X$300) * (225)</f>
        <v>0</v>
      </c>
      <c r="AW300">
        <f>($Y$300) * (40)</f>
        <v>0</v>
      </c>
      <c r="AX300">
        <f>($Z$300) * (275)</f>
        <v>0</v>
      </c>
      <c r="AY300">
        <f>($AA$300) * (90)</f>
        <v>0</v>
      </c>
      <c r="AZ300">
        <f>($AB$300) * (325)</f>
        <v>0</v>
      </c>
      <c r="BA300">
        <f>($AC$300) * (140)</f>
        <v>0</v>
      </c>
      <c r="BB300">
        <f>($AD$300) * (375)</f>
        <v>0</v>
      </c>
      <c r="BC300">
        <f>($AE$300) * (425)</f>
        <v>0</v>
      </c>
      <c r="BO300">
        <v>1</v>
      </c>
      <c r="BP300">
        <f>SUM($O$300:$U$300)</f>
        <v>0</v>
      </c>
    </row>
    <row r="301" spans="1:68" x14ac:dyDescent="0.25">
      <c r="A301">
        <v>242</v>
      </c>
      <c r="B301">
        <v>1</v>
      </c>
      <c r="C301">
        <v>20300</v>
      </c>
      <c r="D301">
        <v>-1</v>
      </c>
      <c r="E301">
        <v>2</v>
      </c>
      <c r="F301" t="s">
        <v>12</v>
      </c>
      <c r="G301">
        <v>3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f>($H$301) * (225)</f>
        <v>0</v>
      </c>
      <c r="AG301">
        <f>($I$301) * (40)</f>
        <v>0</v>
      </c>
      <c r="AH301">
        <f>($J$301) * (40)</f>
        <v>0</v>
      </c>
      <c r="AI301">
        <f>($K$301) * (275)</f>
        <v>0</v>
      </c>
      <c r="AJ301">
        <f>($L$301) * (90)</f>
        <v>0</v>
      </c>
      <c r="AK301">
        <f>($M$301) * (90)</f>
        <v>0</v>
      </c>
      <c r="AL301">
        <f>($N$301) * (325)</f>
        <v>0</v>
      </c>
      <c r="AM301">
        <f>($O$301) * (375)</f>
        <v>0</v>
      </c>
      <c r="AN301">
        <f>($P$301) * (190)</f>
        <v>0</v>
      </c>
      <c r="AO301">
        <f>($Q$301) * (190)</f>
        <v>0</v>
      </c>
      <c r="AP301">
        <f>($R$301) * (425)</f>
        <v>0</v>
      </c>
      <c r="AQ301">
        <f>($S$301) * (240)</f>
        <v>0</v>
      </c>
      <c r="AR301">
        <f>($T$301) * (240)</f>
        <v>0</v>
      </c>
      <c r="AS301">
        <f>($U$301) * (475)</f>
        <v>0</v>
      </c>
      <c r="AT301">
        <f>($V$301) * (290)</f>
        <v>0</v>
      </c>
      <c r="AU301">
        <f>($W$301) * (290)</f>
        <v>0</v>
      </c>
      <c r="AV301">
        <f>($X$301) * (525)</f>
        <v>0</v>
      </c>
      <c r="AW301">
        <f>($Y$301) * (340)</f>
        <v>0</v>
      </c>
      <c r="AX301">
        <f>($Z$301) * (575)</f>
        <v>0</v>
      </c>
      <c r="AY301">
        <f>($AA$301) * (390)</f>
        <v>0</v>
      </c>
      <c r="AZ301">
        <f>($AB$301) * (625)</f>
        <v>0</v>
      </c>
      <c r="BA301">
        <f>($AC$301) * (440)</f>
        <v>0</v>
      </c>
      <c r="BB301">
        <f>($AD$301) * (675)</f>
        <v>0</v>
      </c>
      <c r="BC301">
        <f>($AE$301) * (725)</f>
        <v>0</v>
      </c>
      <c r="BO301">
        <v>1</v>
      </c>
      <c r="BP301">
        <f>SUM($H$301:$K$301)</f>
        <v>0</v>
      </c>
    </row>
    <row r="302" spans="1:68" x14ac:dyDescent="0.25">
      <c r="A302">
        <v>267</v>
      </c>
      <c r="B302">
        <v>2</v>
      </c>
      <c r="C302">
        <v>8700</v>
      </c>
      <c r="D302">
        <v>4</v>
      </c>
      <c r="E302">
        <v>9</v>
      </c>
      <c r="F302" t="s">
        <v>12</v>
      </c>
      <c r="G302">
        <v>3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f>($H$302) * (225)</f>
        <v>0</v>
      </c>
      <c r="AG302">
        <f>($I$302) * (80)</f>
        <v>0</v>
      </c>
      <c r="AH302">
        <f>($J$302) * (80)</f>
        <v>0</v>
      </c>
      <c r="AI302">
        <f>($K$302) * (225)</f>
        <v>0</v>
      </c>
      <c r="AJ302">
        <f>($L$302) * (80)</f>
        <v>0</v>
      </c>
      <c r="AK302">
        <f>($M$302) * (80)</f>
        <v>0</v>
      </c>
      <c r="AL302">
        <f>($N$302) * (225)</f>
        <v>0</v>
      </c>
      <c r="AM302">
        <f>($O$302) * (225)</f>
        <v>0</v>
      </c>
      <c r="AN302">
        <f>($P$302) * (80)</f>
        <v>0</v>
      </c>
      <c r="AO302">
        <f>($Q$302) * (80)</f>
        <v>0</v>
      </c>
      <c r="AP302">
        <f>($R$302) * (225)</f>
        <v>0</v>
      </c>
      <c r="AQ302">
        <f>($S$302) * (80)</f>
        <v>0</v>
      </c>
      <c r="AR302">
        <f>($T$302) * (80)</f>
        <v>0</v>
      </c>
      <c r="AS302">
        <f>($U$302) * (225)</f>
        <v>0</v>
      </c>
      <c r="AT302">
        <f>($V$302) * (80)</f>
        <v>0</v>
      </c>
      <c r="AU302">
        <f>($W$302) * (80)</f>
        <v>0</v>
      </c>
      <c r="AV302">
        <f>($X$302) * (295)</f>
        <v>0</v>
      </c>
      <c r="AW302">
        <f>($Y$302) * (150)</f>
        <v>0</v>
      </c>
      <c r="AX302">
        <f>($Z$302) * (365)</f>
        <v>0</v>
      </c>
      <c r="AY302">
        <f>($AA$302) * (220)</f>
        <v>0</v>
      </c>
      <c r="AZ302">
        <f>($AB$302) * (435)</f>
        <v>0</v>
      </c>
      <c r="BA302">
        <f>($AC$302) * (290)</f>
        <v>0</v>
      </c>
      <c r="BB302">
        <f>($AD$302) * (505)</f>
        <v>0</v>
      </c>
      <c r="BC302">
        <f>($AE$302) * (575)</f>
        <v>0</v>
      </c>
      <c r="BO302">
        <v>1</v>
      </c>
      <c r="BP302">
        <f>SUM($R$302:$AB$302)</f>
        <v>0</v>
      </c>
    </row>
    <row r="303" spans="1:68" x14ac:dyDescent="0.25">
      <c r="A303">
        <v>270</v>
      </c>
      <c r="B303">
        <v>2</v>
      </c>
      <c r="C303">
        <v>18400</v>
      </c>
      <c r="D303">
        <v>5</v>
      </c>
      <c r="E303">
        <v>10</v>
      </c>
      <c r="F303" t="s">
        <v>12</v>
      </c>
      <c r="G303">
        <v>3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f>($H$303) * (225)</f>
        <v>0</v>
      </c>
      <c r="AG303">
        <f>($I$303) * (80)</f>
        <v>0</v>
      </c>
      <c r="AH303">
        <f>($J$303) * (80)</f>
        <v>0</v>
      </c>
      <c r="AI303">
        <f>($K$303) * (225)</f>
        <v>0</v>
      </c>
      <c r="AJ303">
        <f>($L$303) * (80)</f>
        <v>0</v>
      </c>
      <c r="AK303">
        <f>($M$303) * (80)</f>
        <v>0</v>
      </c>
      <c r="AL303">
        <f>($N$303) * (225)</f>
        <v>0</v>
      </c>
      <c r="AM303">
        <f>($O$303) * (225)</f>
        <v>0</v>
      </c>
      <c r="AN303">
        <f>($P$303) * (80)</f>
        <v>0</v>
      </c>
      <c r="AO303">
        <f>($Q$303) * (80)</f>
        <v>0</v>
      </c>
      <c r="AP303">
        <f>($R$303) * (225)</f>
        <v>0</v>
      </c>
      <c r="AQ303">
        <f>($S$303) * (80)</f>
        <v>0</v>
      </c>
      <c r="AR303">
        <f>($T$303) * (80)</f>
        <v>0</v>
      </c>
      <c r="AS303">
        <f>($U$303) * (225)</f>
        <v>0</v>
      </c>
      <c r="AT303">
        <f>($V$303) * (80)</f>
        <v>0</v>
      </c>
      <c r="AU303">
        <f>($W$303) * (80)</f>
        <v>0</v>
      </c>
      <c r="AV303">
        <f>($X$303) * (225)</f>
        <v>0</v>
      </c>
      <c r="AW303">
        <f>($Y$303) * (80)</f>
        <v>0</v>
      </c>
      <c r="AX303">
        <f>($Z$303) * (295)</f>
        <v>0</v>
      </c>
      <c r="AY303">
        <f>($AA$303) * (150)</f>
        <v>0</v>
      </c>
      <c r="AZ303">
        <f>($AB$303) * (365)</f>
        <v>0</v>
      </c>
      <c r="BA303">
        <f>($AC$303) * (220)</f>
        <v>0</v>
      </c>
      <c r="BB303">
        <f>($AD$303) * (435)</f>
        <v>0</v>
      </c>
      <c r="BC303">
        <f>($AE$303) * (505)</f>
        <v>0</v>
      </c>
      <c r="BO303">
        <v>1</v>
      </c>
      <c r="BP303">
        <f>SUM($U$303:$AD$303)</f>
        <v>0</v>
      </c>
    </row>
    <row r="304" spans="1:68" x14ac:dyDescent="0.25">
      <c r="A304">
        <v>291</v>
      </c>
      <c r="B304">
        <v>2</v>
      </c>
      <c r="C304">
        <v>10292</v>
      </c>
      <c r="D304">
        <v>5</v>
      </c>
      <c r="E304">
        <v>8</v>
      </c>
      <c r="F304" t="s">
        <v>12</v>
      </c>
      <c r="G304">
        <v>3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f>($H$304) * (225)</f>
        <v>0</v>
      </c>
      <c r="AG304">
        <f>($I$304) * (80)</f>
        <v>0</v>
      </c>
      <c r="AH304">
        <f>($J$304) * (80)</f>
        <v>0</v>
      </c>
      <c r="AI304">
        <f>($K$304) * (225)</f>
        <v>0</v>
      </c>
      <c r="AJ304">
        <f>($L$304) * (80)</f>
        <v>0</v>
      </c>
      <c r="AK304">
        <f>($M$304) * (80)</f>
        <v>0</v>
      </c>
      <c r="AL304">
        <f>($N$304) * (225)</f>
        <v>0</v>
      </c>
      <c r="AM304">
        <f>($O$304) * (225)</f>
        <v>0</v>
      </c>
      <c r="AN304">
        <f>($P$304) * (80)</f>
        <v>0</v>
      </c>
      <c r="AO304">
        <f>($Q$304) * (80)</f>
        <v>0</v>
      </c>
      <c r="AP304">
        <f>($R$304) * (225)</f>
        <v>0</v>
      </c>
      <c r="AQ304">
        <f>($S$304) * (80)</f>
        <v>0</v>
      </c>
      <c r="AR304">
        <f>($T$304) * (80)</f>
        <v>0</v>
      </c>
      <c r="AS304">
        <f>($U$304) * (225)</f>
        <v>0</v>
      </c>
      <c r="AT304">
        <f>($V$304) * (80)</f>
        <v>0</v>
      </c>
      <c r="AU304">
        <f>($W$304) * (80)</f>
        <v>0</v>
      </c>
      <c r="AV304">
        <f>($X$304) * (225)</f>
        <v>0</v>
      </c>
      <c r="AW304">
        <f>($Y$304) * (80)</f>
        <v>0</v>
      </c>
      <c r="AX304">
        <f>($Z$304) * (295)</f>
        <v>0</v>
      </c>
      <c r="AY304">
        <f>($AA$304) * (150)</f>
        <v>0</v>
      </c>
      <c r="AZ304">
        <f>($AB$304) * (365)</f>
        <v>0</v>
      </c>
      <c r="BA304">
        <f>($AC$304) * (220)</f>
        <v>0</v>
      </c>
      <c r="BB304">
        <f>($AD$304) * (435)</f>
        <v>0</v>
      </c>
      <c r="BC304">
        <f>($AE$304) * (505)</f>
        <v>0</v>
      </c>
      <c r="BO304">
        <v>1</v>
      </c>
      <c r="BP304">
        <f>SUM($U$304:$Z$304)</f>
        <v>0</v>
      </c>
    </row>
    <row r="305" spans="1:68" x14ac:dyDescent="0.25">
      <c r="A305">
        <v>21</v>
      </c>
      <c r="B305">
        <v>2</v>
      </c>
      <c r="C305">
        <v>8950</v>
      </c>
      <c r="D305">
        <v>4</v>
      </c>
      <c r="E305">
        <v>7</v>
      </c>
      <c r="F305" t="s">
        <v>14</v>
      </c>
      <c r="G305">
        <v>4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f>($H$305) * (225)</f>
        <v>0</v>
      </c>
      <c r="AG305">
        <f>($I$305) * (80)</f>
        <v>0</v>
      </c>
      <c r="AH305">
        <f>($J$305) * (80)</f>
        <v>0</v>
      </c>
      <c r="AI305">
        <f>($K$305) * (225)</f>
        <v>0</v>
      </c>
      <c r="AJ305">
        <f>($L$305) * (80)</f>
        <v>0</v>
      </c>
      <c r="AK305">
        <f>($M$305) * (80)</f>
        <v>0</v>
      </c>
      <c r="AL305">
        <f>($N$305) * (225)</f>
        <v>0</v>
      </c>
      <c r="AM305">
        <f>($O$305) * (225)</f>
        <v>0</v>
      </c>
      <c r="AN305">
        <f>($P$305) * (80)</f>
        <v>0</v>
      </c>
      <c r="AO305">
        <f>($Q$305) * (80)</f>
        <v>0</v>
      </c>
      <c r="AP305">
        <f>($R$305) * (225)</f>
        <v>0</v>
      </c>
      <c r="AQ305">
        <f>($S$305) * (80)</f>
        <v>0</v>
      </c>
      <c r="AR305">
        <f>($T$305) * (80)</f>
        <v>0</v>
      </c>
      <c r="AS305">
        <f>($U$305) * (225)</f>
        <v>0</v>
      </c>
      <c r="AT305">
        <f>($V$305) * (80)</f>
        <v>0</v>
      </c>
      <c r="AU305">
        <f>($W$305) * (80)</f>
        <v>0</v>
      </c>
      <c r="AV305">
        <f>($X$305) * (225)</f>
        <v>0</v>
      </c>
      <c r="AW305">
        <f>($Y$305) * (80)</f>
        <v>0</v>
      </c>
      <c r="AX305">
        <f>($Z$305) * (295)</f>
        <v>0</v>
      </c>
      <c r="AY305">
        <f>($AA$305) * (150)</f>
        <v>0</v>
      </c>
      <c r="AZ305">
        <f>($AB$305) * (365)</f>
        <v>0</v>
      </c>
      <c r="BA305">
        <f>($AC$305) * (220)</f>
        <v>0</v>
      </c>
      <c r="BB305">
        <f>($AD$305) * (435)</f>
        <v>0</v>
      </c>
      <c r="BC305">
        <f>($AE$305) * (505)</f>
        <v>0</v>
      </c>
      <c r="BO305">
        <v>1</v>
      </c>
      <c r="BP305">
        <f>SUM($R$305:$X$305)</f>
        <v>0</v>
      </c>
    </row>
    <row r="306" spans="1:68" x14ac:dyDescent="0.25">
      <c r="A306">
        <v>46</v>
      </c>
      <c r="B306">
        <v>2</v>
      </c>
      <c r="C306">
        <v>9150</v>
      </c>
      <c r="D306">
        <v>-1</v>
      </c>
      <c r="E306">
        <v>2</v>
      </c>
      <c r="F306" t="s">
        <v>14</v>
      </c>
      <c r="G306">
        <v>3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f>($H$306) * (225)</f>
        <v>0</v>
      </c>
      <c r="AG306">
        <f>($I$306) * (80)</f>
        <v>0</v>
      </c>
      <c r="AH306">
        <f>($J$306) * (80)</f>
        <v>0</v>
      </c>
      <c r="AI306">
        <f>($K$306) * (295)</f>
        <v>0</v>
      </c>
      <c r="AJ306">
        <f>($L$306) * (150)</f>
        <v>0</v>
      </c>
      <c r="AK306">
        <f>($M$306) * (150)</f>
        <v>0</v>
      </c>
      <c r="AL306">
        <f>($N$306) * (365)</f>
        <v>0</v>
      </c>
      <c r="AM306">
        <f>($O$306) * (435)</f>
        <v>0</v>
      </c>
      <c r="AN306">
        <f>($P$306) * (290)</f>
        <v>0</v>
      </c>
      <c r="AO306">
        <f>($Q$306) * (290)</f>
        <v>0</v>
      </c>
      <c r="AP306">
        <f>($R$306) * (505)</f>
        <v>0</v>
      </c>
      <c r="AQ306">
        <f>($S$306) * (360)</f>
        <v>0</v>
      </c>
      <c r="AR306">
        <f>($T$306) * (360)</f>
        <v>0</v>
      </c>
      <c r="AS306">
        <f>($U$306) * (575)</f>
        <v>0</v>
      </c>
      <c r="AT306">
        <f>($V$306) * (430)</f>
        <v>0</v>
      </c>
      <c r="AU306">
        <f>($W$306) * (430)</f>
        <v>0</v>
      </c>
      <c r="AV306">
        <f>($X$306) * (645)</f>
        <v>0</v>
      </c>
      <c r="AW306">
        <f>($Y$306) * (500)</f>
        <v>0</v>
      </c>
      <c r="AX306">
        <f>($Z$306) * (715)</f>
        <v>0</v>
      </c>
      <c r="AY306">
        <f>($AA$306) * (570)</f>
        <v>0</v>
      </c>
      <c r="AZ306">
        <f>($AB$306) * (785)</f>
        <v>0</v>
      </c>
      <c r="BA306">
        <f>($AC$306) * (640)</f>
        <v>0</v>
      </c>
      <c r="BB306">
        <f>($AD$306) * (855)</f>
        <v>0</v>
      </c>
      <c r="BC306">
        <f>($AE$306) * (925)</f>
        <v>0</v>
      </c>
      <c r="BO306">
        <v>1</v>
      </c>
      <c r="BP306">
        <f>SUM($H$306:$K$306)</f>
        <v>0</v>
      </c>
    </row>
    <row r="307" spans="1:68" x14ac:dyDescent="0.25">
      <c r="A307">
        <v>52</v>
      </c>
      <c r="B307">
        <v>2</v>
      </c>
      <c r="C307">
        <v>8950</v>
      </c>
      <c r="D307">
        <v>0</v>
      </c>
      <c r="E307">
        <v>4</v>
      </c>
      <c r="F307" t="s">
        <v>14</v>
      </c>
      <c r="G307">
        <v>2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f>($H$307) * (225)</f>
        <v>0</v>
      </c>
      <c r="AG307">
        <f>($I$307) * (80)</f>
        <v>0</v>
      </c>
      <c r="AH307">
        <f>($J$307) * (80)</f>
        <v>0</v>
      </c>
      <c r="AI307">
        <f>($K$307) * (295)</f>
        <v>0</v>
      </c>
      <c r="AJ307">
        <f>($L$307) * (150)</f>
        <v>0</v>
      </c>
      <c r="AK307">
        <f>($M$307) * (150)</f>
        <v>0</v>
      </c>
      <c r="AL307">
        <f>($N$307) * (365)</f>
        <v>0</v>
      </c>
      <c r="AM307">
        <f>($O$307) * (435)</f>
        <v>0</v>
      </c>
      <c r="AN307">
        <f>($P$307) * (290)</f>
        <v>0</v>
      </c>
      <c r="AO307">
        <f>($Q$307) * (290)</f>
        <v>0</v>
      </c>
      <c r="AP307">
        <f>($R$307) * (505)</f>
        <v>0</v>
      </c>
      <c r="AQ307">
        <f>($S$307) * (360)</f>
        <v>0</v>
      </c>
      <c r="AR307">
        <f>($T$307) * (360)</f>
        <v>0</v>
      </c>
      <c r="AS307">
        <f>($U$307) * (575)</f>
        <v>0</v>
      </c>
      <c r="AT307">
        <f>($V$307) * (430)</f>
        <v>0</v>
      </c>
      <c r="AU307">
        <f>($W$307) * (430)</f>
        <v>0</v>
      </c>
      <c r="AV307">
        <f>($X$307) * (645)</f>
        <v>0</v>
      </c>
      <c r="AW307">
        <f>($Y$307) * (500)</f>
        <v>0</v>
      </c>
      <c r="AX307">
        <f>($Z$307) * (715)</f>
        <v>0</v>
      </c>
      <c r="AY307">
        <f>($AA$307) * (570)</f>
        <v>0</v>
      </c>
      <c r="AZ307">
        <f>($AB$307) * (785)</f>
        <v>0</v>
      </c>
      <c r="BA307">
        <f>($AC$307) * (640)</f>
        <v>0</v>
      </c>
      <c r="BB307">
        <f>($AD$307) * (855)</f>
        <v>0</v>
      </c>
      <c r="BC307">
        <f>($AE$307) * (925)</f>
        <v>0</v>
      </c>
      <c r="BO307">
        <v>1</v>
      </c>
      <c r="BP307">
        <f>SUM($H$307:$O$307)</f>
        <v>0</v>
      </c>
    </row>
    <row r="308" spans="1:68" x14ac:dyDescent="0.25">
      <c r="A308">
        <v>53</v>
      </c>
      <c r="B308">
        <v>2</v>
      </c>
      <c r="C308">
        <v>9045</v>
      </c>
      <c r="D308">
        <v>0</v>
      </c>
      <c r="E308">
        <v>3</v>
      </c>
      <c r="F308" t="s">
        <v>14</v>
      </c>
      <c r="G308">
        <v>4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f>($H$308) * (225)</f>
        <v>0</v>
      </c>
      <c r="AG308">
        <f>($I$308) * (80)</f>
        <v>0</v>
      </c>
      <c r="AH308">
        <f>($J$308) * (80)</f>
        <v>0</v>
      </c>
      <c r="AI308">
        <f>($K$308) * (225)</f>
        <v>0</v>
      </c>
      <c r="AJ308">
        <f>($L$308) * (80)</f>
        <v>0</v>
      </c>
      <c r="AK308">
        <f>($M$308) * (80)</f>
        <v>0</v>
      </c>
      <c r="AL308">
        <f>($N$308) * (225)</f>
        <v>0</v>
      </c>
      <c r="AM308">
        <f>($O$308) * (295)</f>
        <v>0</v>
      </c>
      <c r="AN308">
        <f>($P$308) * (150)</f>
        <v>0</v>
      </c>
      <c r="AO308">
        <f>($Q$308) * (150)</f>
        <v>0</v>
      </c>
      <c r="AP308">
        <f>($R$308) * (365)</f>
        <v>0</v>
      </c>
      <c r="AQ308">
        <f>($S$308) * (220)</f>
        <v>0</v>
      </c>
      <c r="AR308">
        <f>($T$308) * (220)</f>
        <v>0</v>
      </c>
      <c r="AS308">
        <f>($U$308) * (435)</f>
        <v>0</v>
      </c>
      <c r="AT308">
        <f>($V$308) * (290)</f>
        <v>0</v>
      </c>
      <c r="AU308">
        <f>($W$308) * (290)</f>
        <v>0</v>
      </c>
      <c r="AV308">
        <f>($X$308) * (505)</f>
        <v>0</v>
      </c>
      <c r="AW308">
        <f>($Y$308) * (360)</f>
        <v>0</v>
      </c>
      <c r="AX308">
        <f>($Z$308) * (575)</f>
        <v>0</v>
      </c>
      <c r="AY308">
        <f>($AA$308) * (430)</f>
        <v>0</v>
      </c>
      <c r="AZ308">
        <f>($AB$308) * (645)</f>
        <v>0</v>
      </c>
      <c r="BA308">
        <f>($AC$308) * (500)</f>
        <v>0</v>
      </c>
      <c r="BB308">
        <f>($AD$308) * (715)</f>
        <v>0</v>
      </c>
      <c r="BC308">
        <f>($AE$308) * (785)</f>
        <v>0</v>
      </c>
      <c r="BO308">
        <v>1</v>
      </c>
      <c r="BP308">
        <f>SUM($H$308:$N$308)</f>
        <v>0</v>
      </c>
    </row>
    <row r="309" spans="1:68" x14ac:dyDescent="0.25">
      <c r="A309">
        <v>70</v>
      </c>
      <c r="B309">
        <v>2</v>
      </c>
      <c r="C309">
        <v>7856</v>
      </c>
      <c r="D309">
        <v>3</v>
      </c>
      <c r="E309">
        <v>7</v>
      </c>
      <c r="F309" t="s">
        <v>14</v>
      </c>
      <c r="G309">
        <v>3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f>($H$309) * (225)</f>
        <v>0</v>
      </c>
      <c r="AG309">
        <f>($I$309) * (80)</f>
        <v>0</v>
      </c>
      <c r="AH309">
        <f>($J$309) * (80)</f>
        <v>0</v>
      </c>
      <c r="AI309">
        <f>($K$309) * (225)</f>
        <v>0</v>
      </c>
      <c r="AJ309">
        <f>($L$309) * (80)</f>
        <v>0</v>
      </c>
      <c r="AK309">
        <f>($M$309) * (80)</f>
        <v>0</v>
      </c>
      <c r="AL309">
        <f>($N$309) * (225)</f>
        <v>0</v>
      </c>
      <c r="AM309">
        <f>($O$309) * (225)</f>
        <v>0</v>
      </c>
      <c r="AN309">
        <f>($P$309) * (80)</f>
        <v>0</v>
      </c>
      <c r="AO309">
        <f>($Q$309) * (80)</f>
        <v>0</v>
      </c>
      <c r="AP309">
        <f>($R$309) * (225)</f>
        <v>0</v>
      </c>
      <c r="AQ309">
        <f>($S$309) * (80)</f>
        <v>0</v>
      </c>
      <c r="AR309">
        <f>($T$309) * (80)</f>
        <v>0</v>
      </c>
      <c r="AS309">
        <f>($U$309) * (295)</f>
        <v>0</v>
      </c>
      <c r="AT309">
        <f>($V$309) * (150)</f>
        <v>0</v>
      </c>
      <c r="AU309">
        <f>($W$309) * (150)</f>
        <v>0</v>
      </c>
      <c r="AV309">
        <f>($X$309) * (365)</f>
        <v>0</v>
      </c>
      <c r="AW309">
        <f>($Y$309) * (220)</f>
        <v>0</v>
      </c>
      <c r="AX309">
        <f>($Z$309) * (435)</f>
        <v>0</v>
      </c>
      <c r="AY309">
        <f>($AA$309) * (290)</f>
        <v>0</v>
      </c>
      <c r="AZ309">
        <f>($AB$309) * (505)</f>
        <v>0</v>
      </c>
      <c r="BA309">
        <f>($AC$309) * (360)</f>
        <v>0</v>
      </c>
      <c r="BB309">
        <f>($AD$309) * (575)</f>
        <v>0</v>
      </c>
      <c r="BC309">
        <f>($AE$309) * (645)</f>
        <v>0</v>
      </c>
      <c r="BO309">
        <v>1</v>
      </c>
      <c r="BP309">
        <f>SUM($O$309:$X$309)</f>
        <v>0</v>
      </c>
    </row>
    <row r="310" spans="1:68" x14ac:dyDescent="0.25">
      <c r="A310">
        <v>165</v>
      </c>
      <c r="B310">
        <v>1</v>
      </c>
      <c r="C310">
        <v>20583</v>
      </c>
      <c r="D310">
        <v>-1</v>
      </c>
      <c r="E310">
        <v>3</v>
      </c>
      <c r="F310" t="s">
        <v>14</v>
      </c>
      <c r="G310">
        <v>3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f>($H$310) * (225)</f>
        <v>0</v>
      </c>
      <c r="AG310">
        <f>($I$310) * (40)</f>
        <v>0</v>
      </c>
      <c r="AH310">
        <f>($J$310) * (40)</f>
        <v>0</v>
      </c>
      <c r="AI310">
        <f>($K$310) * (275)</f>
        <v>0</v>
      </c>
      <c r="AJ310">
        <f>($L$310) * (90)</f>
        <v>0</v>
      </c>
      <c r="AK310">
        <f>($M$310) * (90)</f>
        <v>0</v>
      </c>
      <c r="AL310">
        <f>($N$310) * (325)</f>
        <v>0</v>
      </c>
      <c r="AM310">
        <f>($O$310) * (375)</f>
        <v>0</v>
      </c>
      <c r="AN310">
        <f>($P$310) * (190)</f>
        <v>0</v>
      </c>
      <c r="AO310">
        <f>($Q$310) * (190)</f>
        <v>0</v>
      </c>
      <c r="AP310">
        <f>($R$310) * (425)</f>
        <v>0</v>
      </c>
      <c r="AQ310">
        <f>($S$310) * (240)</f>
        <v>0</v>
      </c>
      <c r="AR310">
        <f>($T$310) * (240)</f>
        <v>0</v>
      </c>
      <c r="AS310">
        <f>($U$310) * (475)</f>
        <v>0</v>
      </c>
      <c r="AT310">
        <f>($V$310) * (290)</f>
        <v>0</v>
      </c>
      <c r="AU310">
        <f>($W$310) * (290)</f>
        <v>0</v>
      </c>
      <c r="AV310">
        <f>($X$310) * (525)</f>
        <v>0</v>
      </c>
      <c r="AW310">
        <f>($Y$310) * (340)</f>
        <v>0</v>
      </c>
      <c r="AX310">
        <f>($Z$310) * (575)</f>
        <v>0</v>
      </c>
      <c r="AY310">
        <f>($AA$310) * (390)</f>
        <v>0</v>
      </c>
      <c r="AZ310">
        <f>($AB$310) * (625)</f>
        <v>0</v>
      </c>
      <c r="BA310">
        <f>($AC$310) * (440)</f>
        <v>0</v>
      </c>
      <c r="BB310">
        <f>($AD$310) * (675)</f>
        <v>0</v>
      </c>
      <c r="BC310">
        <f>($AE$310) * (725)</f>
        <v>0</v>
      </c>
      <c r="BO310">
        <v>1</v>
      </c>
      <c r="BP310">
        <f>SUM($H$310:$N$310)</f>
        <v>0</v>
      </c>
    </row>
    <row r="311" spans="1:68" x14ac:dyDescent="0.25">
      <c r="A311">
        <v>174</v>
      </c>
      <c r="B311">
        <v>1</v>
      </c>
      <c r="C311">
        <v>18890</v>
      </c>
      <c r="D311">
        <v>0</v>
      </c>
      <c r="E311">
        <v>4</v>
      </c>
      <c r="F311" t="s">
        <v>14</v>
      </c>
      <c r="G311">
        <v>3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f>($H$311) * (225)</f>
        <v>0</v>
      </c>
      <c r="AG311">
        <f>($I$311) * (40)</f>
        <v>0</v>
      </c>
      <c r="AH311">
        <f>($J$311) * (40)</f>
        <v>0</v>
      </c>
      <c r="AI311">
        <f>($K$311) * (225)</f>
        <v>0</v>
      </c>
      <c r="AJ311">
        <f>($L$311) * (40)</f>
        <v>0</v>
      </c>
      <c r="AK311">
        <f>($M$311) * (40)</f>
        <v>0</v>
      </c>
      <c r="AL311">
        <f>($N$311) * (275)</f>
        <v>0</v>
      </c>
      <c r="AM311">
        <f>($O$311) * (325)</f>
        <v>0</v>
      </c>
      <c r="AN311">
        <f>($P$311) * (140)</f>
        <v>0</v>
      </c>
      <c r="AO311">
        <f>($Q$311) * (140)</f>
        <v>0</v>
      </c>
      <c r="AP311">
        <f>($R$311) * (375)</f>
        <v>0</v>
      </c>
      <c r="AQ311">
        <f>($S$311) * (190)</f>
        <v>0</v>
      </c>
      <c r="AR311">
        <f>($T$311) * (190)</f>
        <v>0</v>
      </c>
      <c r="AS311">
        <f>($U$311) * (425)</f>
        <v>0</v>
      </c>
      <c r="AT311">
        <f>($V$311) * (240)</f>
        <v>0</v>
      </c>
      <c r="AU311">
        <f>($W$311) * (240)</f>
        <v>0</v>
      </c>
      <c r="AV311">
        <f>($X$311) * (475)</f>
        <v>0</v>
      </c>
      <c r="AW311">
        <f>($Y$311) * (290)</f>
        <v>0</v>
      </c>
      <c r="AX311">
        <f>($Z$311) * (525)</f>
        <v>0</v>
      </c>
      <c r="AY311">
        <f>($AA$311) * (340)</f>
        <v>0</v>
      </c>
      <c r="AZ311">
        <f>($AB$311) * (575)</f>
        <v>0</v>
      </c>
      <c r="BA311">
        <f>($AC$311) * (390)</f>
        <v>0</v>
      </c>
      <c r="BB311">
        <f>($AD$311) * (625)</f>
        <v>0</v>
      </c>
      <c r="BC311">
        <f>($AE$311) * (675)</f>
        <v>0</v>
      </c>
      <c r="BO311">
        <v>1</v>
      </c>
      <c r="BP311">
        <f>SUM($H$311:$O$311)</f>
        <v>0</v>
      </c>
    </row>
    <row r="312" spans="1:68" x14ac:dyDescent="0.25">
      <c r="A312">
        <v>232</v>
      </c>
      <c r="B312">
        <v>2</v>
      </c>
      <c r="C312">
        <v>12686</v>
      </c>
      <c r="D312">
        <v>-1</v>
      </c>
      <c r="E312">
        <v>4</v>
      </c>
      <c r="F312" t="s">
        <v>14</v>
      </c>
      <c r="G312">
        <v>4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f>($H$312) * (225)</f>
        <v>0</v>
      </c>
      <c r="AG312">
        <f>($I$312) * (80)</f>
        <v>0</v>
      </c>
      <c r="AH312">
        <f>($J$312) * (80)</f>
        <v>0</v>
      </c>
      <c r="AI312">
        <f>($K$312) * (225)</f>
        <v>0</v>
      </c>
      <c r="AJ312">
        <f>($L$312) * (80)</f>
        <v>0</v>
      </c>
      <c r="AK312">
        <f>($M$312) * (80)</f>
        <v>0</v>
      </c>
      <c r="AL312">
        <f>($N$312) * (295)</f>
        <v>0</v>
      </c>
      <c r="AM312">
        <f>($O$312) * (365)</f>
        <v>0</v>
      </c>
      <c r="AN312">
        <f>($P$312) * (220)</f>
        <v>0</v>
      </c>
      <c r="AO312">
        <f>($Q$312) * (220)</f>
        <v>0</v>
      </c>
      <c r="AP312">
        <f>($R$312) * (435)</f>
        <v>0</v>
      </c>
      <c r="AQ312">
        <f>($S$312) * (290)</f>
        <v>0</v>
      </c>
      <c r="AR312">
        <f>($T$312) * (290)</f>
        <v>0</v>
      </c>
      <c r="AS312">
        <f>($U$312) * (505)</f>
        <v>0</v>
      </c>
      <c r="AT312">
        <f>($V$312) * (360)</f>
        <v>0</v>
      </c>
      <c r="AU312">
        <f>($W$312) * (360)</f>
        <v>0</v>
      </c>
      <c r="AV312">
        <f>($X$312) * (575)</f>
        <v>0</v>
      </c>
      <c r="AW312">
        <f>($Y$312) * (430)</f>
        <v>0</v>
      </c>
      <c r="AX312">
        <f>($Z$312) * (645)</f>
        <v>0</v>
      </c>
      <c r="AY312">
        <f>($AA$312) * (500)</f>
        <v>0</v>
      </c>
      <c r="AZ312">
        <f>($AB$312) * (715)</f>
        <v>0</v>
      </c>
      <c r="BA312">
        <f>($AC$312) * (570)</f>
        <v>0</v>
      </c>
      <c r="BB312">
        <f>($AD$312) * (785)</f>
        <v>0</v>
      </c>
      <c r="BC312">
        <f>($AE$312) * (855)</f>
        <v>0</v>
      </c>
      <c r="BO312">
        <v>1</v>
      </c>
      <c r="BP312">
        <f>SUM($H$312:$O$312)</f>
        <v>0</v>
      </c>
    </row>
    <row r="313" spans="1:68" x14ac:dyDescent="0.25">
      <c r="A313">
        <v>284</v>
      </c>
      <c r="B313">
        <v>2</v>
      </c>
      <c r="C313">
        <v>12700</v>
      </c>
      <c r="D313">
        <v>0</v>
      </c>
      <c r="E313">
        <v>4</v>
      </c>
      <c r="F313" t="s">
        <v>14</v>
      </c>
      <c r="G313">
        <v>3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f>($H$313) * (225)</f>
        <v>0</v>
      </c>
      <c r="AG313">
        <f>($I$313) * (80)</f>
        <v>0</v>
      </c>
      <c r="AH313">
        <f>($J$313) * (80)</f>
        <v>0</v>
      </c>
      <c r="AI313">
        <f>($K$313) * (225)</f>
        <v>0</v>
      </c>
      <c r="AJ313">
        <f>($L$313) * (80)</f>
        <v>0</v>
      </c>
      <c r="AK313">
        <f>($M$313) * (80)</f>
        <v>0</v>
      </c>
      <c r="AL313">
        <f>($N$313) * (295)</f>
        <v>0</v>
      </c>
      <c r="AM313">
        <f>($O$313) * (365)</f>
        <v>0</v>
      </c>
      <c r="AN313">
        <f>($P$313) * (220)</f>
        <v>0</v>
      </c>
      <c r="AO313">
        <f>($Q$313) * (220)</f>
        <v>0</v>
      </c>
      <c r="AP313">
        <f>($R$313) * (435)</f>
        <v>0</v>
      </c>
      <c r="AQ313">
        <f>($S$313) * (290)</f>
        <v>0</v>
      </c>
      <c r="AR313">
        <f>($T$313) * (290)</f>
        <v>0</v>
      </c>
      <c r="AS313">
        <f>($U$313) * (505)</f>
        <v>0</v>
      </c>
      <c r="AT313">
        <f>($V$313) * (360)</f>
        <v>0</v>
      </c>
      <c r="AU313">
        <f>($W$313) * (360)</f>
        <v>0</v>
      </c>
      <c r="AV313">
        <f>($X$313) * (575)</f>
        <v>0</v>
      </c>
      <c r="AW313">
        <f>($Y$313) * (430)</f>
        <v>0</v>
      </c>
      <c r="AX313">
        <f>($Z$313) * (645)</f>
        <v>0</v>
      </c>
      <c r="AY313">
        <f>($AA$313) * (500)</f>
        <v>0</v>
      </c>
      <c r="AZ313">
        <f>($AB$313) * (715)</f>
        <v>0</v>
      </c>
      <c r="BA313">
        <f>($AC$313) * (570)</f>
        <v>0</v>
      </c>
      <c r="BB313">
        <f>($AD$313) * (785)</f>
        <v>0</v>
      </c>
      <c r="BC313">
        <f>($AE$313) * (855)</f>
        <v>0</v>
      </c>
      <c r="BO313">
        <v>1</v>
      </c>
      <c r="BP313">
        <f>SUM($H$313:$O$313)</f>
        <v>0</v>
      </c>
    </row>
    <row r="314" spans="1:68" x14ac:dyDescent="0.25">
      <c r="A314">
        <v>97</v>
      </c>
      <c r="B314">
        <v>1</v>
      </c>
      <c r="C314">
        <v>3858</v>
      </c>
      <c r="D314">
        <v>0</v>
      </c>
      <c r="E314">
        <v>3</v>
      </c>
      <c r="F314" t="s">
        <v>15</v>
      </c>
      <c r="G314">
        <v>3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f>($H$314) * (225)</f>
        <v>0</v>
      </c>
      <c r="AG314">
        <f>($I$314) * (40)</f>
        <v>0</v>
      </c>
      <c r="AH314">
        <f>($J$314) * (40)</f>
        <v>0</v>
      </c>
      <c r="AI314">
        <f>($K$314) * (225)</f>
        <v>0</v>
      </c>
      <c r="AJ314">
        <f>($L$314) * (40)</f>
        <v>0</v>
      </c>
      <c r="AK314">
        <f>($M$314) * (40)</f>
        <v>0</v>
      </c>
      <c r="AL314">
        <f>($N$314) * (275)</f>
        <v>0</v>
      </c>
      <c r="AM314">
        <f>($O$314) * (325)</f>
        <v>0</v>
      </c>
      <c r="AN314">
        <f>($P$314) * (140)</f>
        <v>0</v>
      </c>
      <c r="AO314">
        <f>($Q$314) * (140)</f>
        <v>0</v>
      </c>
      <c r="AP314">
        <f>($R$314) * (375)</f>
        <v>0</v>
      </c>
      <c r="AQ314">
        <f>($S$314) * (190)</f>
        <v>0</v>
      </c>
      <c r="AR314">
        <f>($T$314) * (190)</f>
        <v>0</v>
      </c>
      <c r="AS314">
        <f>($U$314) * (425)</f>
        <v>0</v>
      </c>
      <c r="AT314">
        <f>($V$314) * (240)</f>
        <v>0</v>
      </c>
      <c r="AU314">
        <f>($W$314) * (240)</f>
        <v>0</v>
      </c>
      <c r="AV314">
        <f>($X$314) * (475)</f>
        <v>0</v>
      </c>
      <c r="AW314">
        <f>($Y$314) * (290)</f>
        <v>0</v>
      </c>
      <c r="AX314">
        <f>($Z$314) * (525)</f>
        <v>0</v>
      </c>
      <c r="AY314">
        <f>($AA$314) * (340)</f>
        <v>0</v>
      </c>
      <c r="AZ314">
        <f>($AB$314) * (575)</f>
        <v>0</v>
      </c>
      <c r="BA314">
        <f>($AC$314) * (390)</f>
        <v>0</v>
      </c>
      <c r="BB314">
        <f>($AD$314) * (625)</f>
        <v>0</v>
      </c>
      <c r="BC314">
        <f>($AE$314) * (675)</f>
        <v>0</v>
      </c>
      <c r="BO314">
        <v>1</v>
      </c>
      <c r="BP314">
        <f>SUM($H$314:$N$314)</f>
        <v>0</v>
      </c>
    </row>
    <row r="315" spans="1:68" x14ac:dyDescent="0.25">
      <c r="A315">
        <v>221</v>
      </c>
      <c r="B315">
        <v>1</v>
      </c>
      <c r="C315">
        <v>23440</v>
      </c>
      <c r="D315">
        <v>2</v>
      </c>
      <c r="E315">
        <v>7</v>
      </c>
      <c r="F315" t="s">
        <v>15</v>
      </c>
      <c r="G315">
        <v>4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f>($H$315) * (225)</f>
        <v>0</v>
      </c>
      <c r="AG315">
        <f>($I$315) * (40)</f>
        <v>0</v>
      </c>
      <c r="AH315">
        <f>($J$315) * (40)</f>
        <v>0</v>
      </c>
      <c r="AI315">
        <f>($K$315) * (225)</f>
        <v>0</v>
      </c>
      <c r="AJ315">
        <f>($L$315) * (40)</f>
        <v>0</v>
      </c>
      <c r="AK315">
        <f>($M$315) * (40)</f>
        <v>0</v>
      </c>
      <c r="AL315">
        <f>($N$315) * (225)</f>
        <v>0</v>
      </c>
      <c r="AM315">
        <f>($O$315) * (225)</f>
        <v>0</v>
      </c>
      <c r="AN315">
        <f>($P$315) * (40)</f>
        <v>0</v>
      </c>
      <c r="AO315">
        <f>($Q$315) * (40)</f>
        <v>0</v>
      </c>
      <c r="AP315">
        <f>($R$315) * (225)</f>
        <v>0</v>
      </c>
      <c r="AQ315">
        <f>($S$315) * (40)</f>
        <v>0</v>
      </c>
      <c r="AR315">
        <f>($T$315) * (40)</f>
        <v>0</v>
      </c>
      <c r="AS315">
        <f>($U$315) * (275)</f>
        <v>0</v>
      </c>
      <c r="AT315">
        <f>($V$315) * (90)</f>
        <v>0</v>
      </c>
      <c r="AU315">
        <f>($W$315) * (90)</f>
        <v>0</v>
      </c>
      <c r="AV315">
        <f>($X$315) * (325)</f>
        <v>0</v>
      </c>
      <c r="AW315">
        <f>($Y$315) * (140)</f>
        <v>0</v>
      </c>
      <c r="AX315">
        <f>($Z$315) * (375)</f>
        <v>0</v>
      </c>
      <c r="AY315">
        <f>($AA$315) * (190)</f>
        <v>0</v>
      </c>
      <c r="AZ315">
        <f>($AB$315) * (425)</f>
        <v>0</v>
      </c>
      <c r="BA315">
        <f>($AC$315) * (240)</f>
        <v>0</v>
      </c>
      <c r="BB315">
        <f>($AD$315) * (475)</f>
        <v>0</v>
      </c>
      <c r="BC315">
        <f>($AE$315) * (525)</f>
        <v>0</v>
      </c>
      <c r="BO315">
        <v>1</v>
      </c>
      <c r="BP315">
        <f>SUM($N$315:$X$315)</f>
        <v>0</v>
      </c>
    </row>
    <row r="316" spans="1:68" x14ac:dyDescent="0.25">
      <c r="A316">
        <v>3</v>
      </c>
      <c r="B316">
        <v>2</v>
      </c>
      <c r="C316">
        <v>25830</v>
      </c>
      <c r="D316">
        <v>2</v>
      </c>
      <c r="E316">
        <v>7</v>
      </c>
      <c r="F316" t="s">
        <v>9</v>
      </c>
      <c r="G316">
        <v>3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f>($H$316) * (225)</f>
        <v>0</v>
      </c>
      <c r="AG316">
        <f>($I$316) * (80)</f>
        <v>0</v>
      </c>
      <c r="AH316">
        <f>($J$316) * (80)</f>
        <v>0</v>
      </c>
      <c r="AI316">
        <f>($K$316) * (225)</f>
        <v>0</v>
      </c>
      <c r="AJ316">
        <f>($L$316) * (80)</f>
        <v>0</v>
      </c>
      <c r="AK316">
        <f>($M$316) * (80)</f>
        <v>0</v>
      </c>
      <c r="AL316">
        <f>($N$316) * (225)</f>
        <v>0</v>
      </c>
      <c r="AM316">
        <f>($O$316) * (225)</f>
        <v>0</v>
      </c>
      <c r="AN316">
        <f>($P$316) * (80)</f>
        <v>0</v>
      </c>
      <c r="AO316">
        <f>($Q$316) * (80)</f>
        <v>0</v>
      </c>
      <c r="AP316">
        <f>($R$316) * (295)</f>
        <v>0</v>
      </c>
      <c r="AQ316">
        <f>($S$316) * (150)</f>
        <v>0</v>
      </c>
      <c r="AR316">
        <f>($T$316) * (150)</f>
        <v>0</v>
      </c>
      <c r="AS316">
        <f>($U$316) * (365)</f>
        <v>0</v>
      </c>
      <c r="AT316">
        <f>($V$316) * (220)</f>
        <v>0</v>
      </c>
      <c r="AU316">
        <f>($W$316) * (220)</f>
        <v>0</v>
      </c>
      <c r="AV316">
        <f>($X$316) * (435)</f>
        <v>0</v>
      </c>
      <c r="AW316">
        <f>($Y$316) * (290)</f>
        <v>0</v>
      </c>
      <c r="AX316">
        <f>($Z$316) * (505)</f>
        <v>0</v>
      </c>
      <c r="AY316">
        <f>($AA$316) * (360)</f>
        <v>0</v>
      </c>
      <c r="AZ316">
        <f>($AB$316) * (575)</f>
        <v>0</v>
      </c>
      <c r="BA316">
        <f>($AC$316) * (430)</f>
        <v>0</v>
      </c>
      <c r="BB316">
        <f>($AD$316) * (645)</f>
        <v>0</v>
      </c>
      <c r="BC316">
        <f>($AE$316) * (715)</f>
        <v>0</v>
      </c>
      <c r="BO316">
        <v>1</v>
      </c>
      <c r="BP316">
        <f>SUM($N$316:$X$316)</f>
        <v>0</v>
      </c>
    </row>
    <row r="317" spans="1:68" x14ac:dyDescent="0.25">
      <c r="A317">
        <v>36</v>
      </c>
      <c r="B317">
        <v>2</v>
      </c>
      <c r="C317">
        <v>8950</v>
      </c>
      <c r="D317">
        <v>5</v>
      </c>
      <c r="E317">
        <v>8</v>
      </c>
      <c r="F317" t="s">
        <v>9</v>
      </c>
      <c r="G317">
        <v>4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f>($H$317) * (225)</f>
        <v>0</v>
      </c>
      <c r="AG317">
        <f>($I$317) * (80)</f>
        <v>0</v>
      </c>
      <c r="AH317">
        <f>($J$317) * (80)</f>
        <v>0</v>
      </c>
      <c r="AI317">
        <f>($K$317) * (225)</f>
        <v>0</v>
      </c>
      <c r="AJ317">
        <f>($L$317) * (80)</f>
        <v>0</v>
      </c>
      <c r="AK317">
        <f>($M$317) * (80)</f>
        <v>0</v>
      </c>
      <c r="AL317">
        <f>($N$317) * (225)</f>
        <v>0</v>
      </c>
      <c r="AM317">
        <f>($O$317) * (225)</f>
        <v>0</v>
      </c>
      <c r="AN317">
        <f>($P$317) * (80)</f>
        <v>0</v>
      </c>
      <c r="AO317">
        <f>($Q$317) * (80)</f>
        <v>0</v>
      </c>
      <c r="AP317">
        <f>($R$317) * (225)</f>
        <v>0</v>
      </c>
      <c r="AQ317">
        <f>($S$317) * (80)</f>
        <v>0</v>
      </c>
      <c r="AR317">
        <f>($T$317) * (80)</f>
        <v>0</v>
      </c>
      <c r="AS317">
        <f>($U$317) * (225)</f>
        <v>0</v>
      </c>
      <c r="AT317">
        <f>($V$317) * (80)</f>
        <v>0</v>
      </c>
      <c r="AU317">
        <f>($W$317) * (80)</f>
        <v>0</v>
      </c>
      <c r="AV317">
        <f>($X$317) * (225)</f>
        <v>0</v>
      </c>
      <c r="AW317">
        <f>($Y$317) * (80)</f>
        <v>0</v>
      </c>
      <c r="AX317">
        <f>($Z$317) * (225)</f>
        <v>0</v>
      </c>
      <c r="AY317">
        <f>($AA$317) * (80)</f>
        <v>0</v>
      </c>
      <c r="AZ317">
        <f>($AB$317) * (295)</f>
        <v>0</v>
      </c>
      <c r="BA317">
        <f>($AC$317) * (150)</f>
        <v>0</v>
      </c>
      <c r="BB317">
        <f>($AD$317) * (365)</f>
        <v>0</v>
      </c>
      <c r="BC317">
        <f>($AE$317) * (435)</f>
        <v>0</v>
      </c>
      <c r="BO317">
        <v>1</v>
      </c>
      <c r="BP317">
        <f>SUM($U$317:$Z$317)</f>
        <v>0</v>
      </c>
    </row>
  </sheetData>
  <sortState ref="A19:G317">
    <sortCondition ref="F18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TESTOutput</vt:lpstr>
      <vt:lpstr>OSAlgorithm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Jurriaan Besenbruch</dc:creator>
  <cp:lastModifiedBy>jwfeilzer</cp:lastModifiedBy>
  <dcterms:created xsi:type="dcterms:W3CDTF">2017-01-30T10:26:38Z</dcterms:created>
  <dcterms:modified xsi:type="dcterms:W3CDTF">2017-02-03T16:42:12Z</dcterms:modified>
</cp:coreProperties>
</file>